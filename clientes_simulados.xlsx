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Stimamiglio\Downloads\"/>
    </mc:Choice>
  </mc:AlternateContent>
  <xr:revisionPtr revIDLastSave="0" documentId="13_ncr:1_{328627A1-8A83-4627-AEAB-725FCCF3504D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Todos os dados" sheetId="1" r:id="rId1"/>
    <sheet name="Calc - Último Relacionamento" sheetId="2" r:id="rId2"/>
    <sheet name="Calc - Aniversário de Cliente" sheetId="3" r:id="rId3"/>
    <sheet name="Calc - Data da Prox Agenda" sheetId="4" r:id="rId4"/>
    <sheet name="Calc - Oportunidade" sheetId="5" r:id="rId5"/>
    <sheet name="Calc - Última sugestão" sheetId="6" r:id="rId6"/>
    <sheet name="Calc - Saldo em Conta" sheetId="7" r:id="rId7"/>
    <sheet name="Calc - Venc. RF" sheetId="8" r:id="rId8"/>
    <sheet name="Simulação" sheetId="9" r:id="rId9"/>
  </sheets>
  <definedNames>
    <definedName name="_xlnm._FilterDatabase" localSheetId="0" hidden="1">'Todos os dados'!$A$1:$J$11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9" l="1"/>
  <c r="H7" i="9"/>
  <c r="H8" i="9"/>
  <c r="H9" i="9"/>
  <c r="H10" i="9"/>
  <c r="H11" i="9"/>
  <c r="H12" i="9"/>
  <c r="H13" i="9"/>
  <c r="H14" i="9"/>
  <c r="H5" i="9"/>
  <c r="F6" i="9"/>
  <c r="F7" i="9"/>
  <c r="F8" i="9"/>
  <c r="F9" i="9"/>
  <c r="F10" i="9"/>
  <c r="F11" i="9"/>
  <c r="F12" i="9"/>
  <c r="F13" i="9"/>
  <c r="F14" i="9"/>
  <c r="F5" i="9"/>
  <c r="F19" i="8"/>
  <c r="E19" i="8"/>
  <c r="B20" i="8"/>
  <c r="C20" i="8"/>
  <c r="B21" i="8"/>
  <c r="C21" i="8"/>
  <c r="B22" i="8"/>
  <c r="C22" i="8"/>
  <c r="B23" i="8"/>
  <c r="C23" i="8"/>
  <c r="B24" i="8"/>
  <c r="C24" i="8"/>
  <c r="B25" i="8"/>
  <c r="C25" i="8"/>
  <c r="E16" i="7"/>
  <c r="H21" i="7" s="1"/>
  <c r="D16" i="7"/>
  <c r="B20" i="6"/>
  <c r="B21" i="6"/>
  <c r="B22" i="6"/>
  <c r="B23" i="6"/>
  <c r="B24" i="6"/>
  <c r="B25" i="6"/>
  <c r="E19" i="5"/>
  <c r="D19" i="5"/>
  <c r="B20" i="4"/>
  <c r="B21" i="4"/>
  <c r="H21" i="4" s="1"/>
  <c r="B22" i="4"/>
  <c r="H22" i="4" s="1"/>
  <c r="B23" i="4"/>
  <c r="B24" i="4"/>
  <c r="B25" i="4"/>
  <c r="H25" i="4" s="1"/>
  <c r="B25" i="3"/>
  <c r="F25" i="3" s="1"/>
  <c r="C14" i="9" s="1"/>
  <c r="B20" i="3"/>
  <c r="F20" i="3" s="1"/>
  <c r="C9" i="9" s="1"/>
  <c r="B21" i="3"/>
  <c r="F21" i="3" s="1"/>
  <c r="C10" i="9" s="1"/>
  <c r="B22" i="3"/>
  <c r="F22" i="3" s="1"/>
  <c r="C11" i="9" s="1"/>
  <c r="B23" i="3"/>
  <c r="F23" i="3" s="1"/>
  <c r="C12" i="9" s="1"/>
  <c r="B24" i="3"/>
  <c r="F24" i="3" s="1"/>
  <c r="C13" i="9" s="1"/>
  <c r="B20" i="2"/>
  <c r="B21" i="2"/>
  <c r="B22" i="2"/>
  <c r="B23" i="2"/>
  <c r="B24" i="2"/>
  <c r="B25" i="2"/>
  <c r="C17" i="8"/>
  <c r="C18" i="8"/>
  <c r="C19" i="8"/>
  <c r="C16" i="8"/>
  <c r="B16" i="8"/>
  <c r="B17" i="8"/>
  <c r="B18" i="8"/>
  <c r="B19" i="8"/>
  <c r="B17" i="6"/>
  <c r="B18" i="6"/>
  <c r="B19" i="6"/>
  <c r="B16" i="6"/>
  <c r="B16" i="4"/>
  <c r="B17" i="4"/>
  <c r="H17" i="4" s="1"/>
  <c r="B18" i="4"/>
  <c r="B19" i="4"/>
  <c r="B17" i="3"/>
  <c r="F17" i="3" s="1"/>
  <c r="C6" i="9" s="1"/>
  <c r="B18" i="3"/>
  <c r="F18" i="3" s="1"/>
  <c r="C7" i="9" s="1"/>
  <c r="B19" i="3"/>
  <c r="F19" i="3" s="1"/>
  <c r="C8" i="9" s="1"/>
  <c r="B16" i="3"/>
  <c r="F16" i="3" s="1"/>
  <c r="C5" i="9" s="1"/>
  <c r="B17" i="2"/>
  <c r="B18" i="2"/>
  <c r="B19" i="2"/>
  <c r="B16" i="2"/>
  <c r="E16" i="4" l="1"/>
  <c r="D16" i="4"/>
  <c r="E16" i="8"/>
  <c r="F16" i="8"/>
  <c r="H19" i="7"/>
  <c r="H20" i="7"/>
  <c r="H25" i="7"/>
  <c r="H24" i="7"/>
  <c r="H23" i="7"/>
  <c r="H22" i="7"/>
  <c r="E16" i="6"/>
  <c r="D16" i="6"/>
  <c r="E16" i="2"/>
  <c r="D16" i="2"/>
  <c r="H16" i="7"/>
  <c r="H17" i="7"/>
  <c r="H18" i="7"/>
  <c r="H20" i="4" l="1"/>
  <c r="D9" i="9" s="1"/>
  <c r="H16" i="4"/>
  <c r="D5" i="9" s="1"/>
  <c r="H24" i="4"/>
  <c r="D13" i="9" s="1"/>
  <c r="H18" i="4"/>
  <c r="D7" i="9" s="1"/>
  <c r="H19" i="4"/>
  <c r="D8" i="9" s="1"/>
  <c r="H23" i="4"/>
  <c r="D12" i="9" s="1"/>
  <c r="D14" i="9"/>
  <c r="D10" i="9"/>
  <c r="D11" i="9"/>
  <c r="D6" i="9"/>
  <c r="I20" i="8"/>
  <c r="G9" i="9" s="1"/>
  <c r="I21" i="8"/>
  <c r="G10" i="9" s="1"/>
  <c r="I22" i="8"/>
  <c r="G11" i="9" s="1"/>
  <c r="I23" i="8"/>
  <c r="G12" i="9" s="1"/>
  <c r="I24" i="8"/>
  <c r="G13" i="9" s="1"/>
  <c r="I25" i="8"/>
  <c r="G14" i="9" s="1"/>
  <c r="H25" i="6"/>
  <c r="E14" i="9" s="1"/>
  <c r="H22" i="6"/>
  <c r="E11" i="9" s="1"/>
  <c r="H21" i="6"/>
  <c r="E10" i="9" s="1"/>
  <c r="H23" i="6"/>
  <c r="E12" i="9" s="1"/>
  <c r="H20" i="6"/>
  <c r="E9" i="9" s="1"/>
  <c r="H24" i="6"/>
  <c r="E13" i="9" s="1"/>
  <c r="H23" i="5"/>
  <c r="H28" i="5"/>
  <c r="H24" i="5"/>
  <c r="H25" i="5"/>
  <c r="H27" i="5"/>
  <c r="H26" i="5"/>
  <c r="H20" i="5"/>
  <c r="H22" i="2"/>
  <c r="B11" i="9" s="1"/>
  <c r="I11" i="9" s="1"/>
  <c r="H23" i="2"/>
  <c r="B12" i="9" s="1"/>
  <c r="H24" i="2"/>
  <c r="B13" i="9" s="1"/>
  <c r="H25" i="2"/>
  <c r="B14" i="9" s="1"/>
  <c r="H20" i="2"/>
  <c r="B9" i="9" s="1"/>
  <c r="H21" i="2"/>
  <c r="B10" i="9" s="1"/>
  <c r="H17" i="6"/>
  <c r="E6" i="9" s="1"/>
  <c r="H19" i="6"/>
  <c r="E8" i="9" s="1"/>
  <c r="H16" i="6"/>
  <c r="E5" i="9" s="1"/>
  <c r="H18" i="6"/>
  <c r="E7" i="9" s="1"/>
  <c r="H19" i="5"/>
  <c r="H21" i="5"/>
  <c r="H22" i="5"/>
  <c r="H17" i="2"/>
  <c r="B6" i="9" s="1"/>
  <c r="H19" i="2"/>
  <c r="B8" i="9" s="1"/>
  <c r="H16" i="2"/>
  <c r="B5" i="9" s="1"/>
  <c r="H18" i="2"/>
  <c r="B7" i="9" s="1"/>
  <c r="I12" i="9" l="1"/>
  <c r="I13" i="9"/>
  <c r="I10" i="9"/>
  <c r="I9" i="9"/>
  <c r="I14" i="9"/>
  <c r="I19" i="8"/>
  <c r="G8" i="9" s="1"/>
  <c r="I8" i="9" s="1"/>
  <c r="I18" i="8"/>
  <c r="G7" i="9" s="1"/>
  <c r="I7" i="9" s="1"/>
  <c r="I16" i="8"/>
  <c r="G5" i="9" s="1"/>
  <c r="I5" i="9" s="1"/>
  <c r="I17" i="8"/>
  <c r="G6" i="9" s="1"/>
  <c r="I6" i="9" s="1"/>
</calcChain>
</file>

<file path=xl/sharedStrings.xml><?xml version="1.0" encoding="utf-8"?>
<sst xmlns="http://schemas.openxmlformats.org/spreadsheetml/2006/main" count="317" uniqueCount="43">
  <si>
    <t>Cliente</t>
  </si>
  <si>
    <t>Data Último Relacionamento</t>
  </si>
  <si>
    <t>Aniversário</t>
  </si>
  <si>
    <t>Data Próxima Agenda</t>
  </si>
  <si>
    <t>Oportunidades</t>
  </si>
  <si>
    <t>Data Última Sugestão</t>
  </si>
  <si>
    <t>Saldo Parado (R$)</t>
  </si>
  <si>
    <t>Vencimento RF Próximo</t>
  </si>
  <si>
    <t>Atualizar Dados Cadastrais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</si>
  <si>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</si>
  <si>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</si>
  <si>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</si>
  <si>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</si>
  <si>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</si>
  <si>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</si>
  <si>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</si>
  <si>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</si>
  <si>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</si>
  <si>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</si>
  <si>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diasSemContato</t>
  </si>
  <si>
    <t>ValorMax</t>
  </si>
  <si>
    <t>ValorMin</t>
  </si>
  <si>
    <t>Score</t>
  </si>
  <si>
    <t>diasParaAniversario</t>
  </si>
  <si>
    <t>O que fazer com clientes sem agenda?</t>
  </si>
  <si>
    <t>Oportunidades (Net Pontual + Net Tático)</t>
  </si>
  <si>
    <t>netTotal</t>
  </si>
  <si>
    <t>diasSemSugestão</t>
  </si>
  <si>
    <t>diasParaVencimento</t>
  </si>
  <si>
    <t>Net Vencimento RF</t>
  </si>
  <si>
    <t>netVencimento</t>
  </si>
  <si>
    <t>ValorMax_Ven</t>
  </si>
  <si>
    <t>ValorMin_Ven</t>
  </si>
  <si>
    <t>Critério</t>
  </si>
  <si>
    <t>Peso</t>
  </si>
  <si>
    <t>Último Relacionamento</t>
  </si>
  <si>
    <t>Aniversário de Cliente</t>
  </si>
  <si>
    <t>Data da Proxima Agenda</t>
  </si>
  <si>
    <t>Data da última sugestão</t>
  </si>
  <si>
    <t>Saldo em Conta</t>
  </si>
  <si>
    <t>Vencimento RF</t>
  </si>
  <si>
    <t>Score Final</t>
  </si>
  <si>
    <t>diasParaAgenda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</si>
</sst>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7" formatCode="_-* #,##0.0000_-;\-* #,##0.0000_-;_-* &quot;-&quot;??_-;_-@_-"/>
    <numFmt numFmtId="169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2" applyFont="1"/>
    <xf numFmtId="14" fontId="0" fillId="0" borderId="0" xfId="0" applyNumberFormat="1"/>
    <xf numFmtId="0" fontId="0" fillId="2" borderId="0" xfId="0" applyFill="1"/>
    <xf numFmtId="0" fontId="0" fillId="0" borderId="2" xfId="0" applyBorder="1"/>
    <xf numFmtId="43" fontId="0" fillId="0" borderId="0" xfId="1" applyFont="1"/>
    <xf numFmtId="0" fontId="0" fillId="0" borderId="1" xfId="0" applyBorder="1"/>
    <xf numFmtId="0" fontId="0" fillId="3" borderId="1" xfId="0" applyFill="1" applyBorder="1"/>
    <xf numFmtId="169" fontId="0" fillId="0" borderId="1" xfId="1" applyNumberFormat="1" applyFont="1" applyBorder="1"/>
    <xf numFmtId="43" fontId="0" fillId="0" borderId="1" xfId="1" applyFont="1" applyBorder="1"/>
    <xf numFmtId="0" fontId="0" fillId="4" borderId="1" xfId="0" applyFill="1" applyBorder="1"/>
    <xf numFmtId="43" fontId="0" fillId="0" borderId="1" xfId="1" applyNumberFormat="1" applyFont="1" applyBorder="1"/>
    <xf numFmtId="14" fontId="0" fillId="0" borderId="0" xfId="2" applyNumberFormat="1" applyFont="1"/>
    <xf numFmtId="0" fontId="0" fillId="5" borderId="1" xfId="0" applyFill="1" applyBorder="1"/>
    <xf numFmtId="9" fontId="0" fillId="0" borderId="1" xfId="0" applyNumberFormat="1" applyBorder="1"/>
    <xf numFmtId="0" fontId="0" fillId="6" borderId="1" xfId="0" applyFill="1" applyBorder="1"/>
    <xf numFmtId="0" fontId="1" fillId="0" borderId="3" xfId="0" applyFont="1" applyBorder="1" applyAlignment="1">
      <alignment horizontal="center" vertical="top"/>
    </xf>
    <xf numFmtId="0" fontId="0" fillId="0" borderId="0" xfId="0" applyFill="1"/>
    <xf numFmtId="167" fontId="0" fillId="0" borderId="4" xfId="1" applyNumberFormat="1" applyFont="1" applyBorder="1"/>
    <xf numFmtId="167" fontId="0" fillId="0" borderId="6" xfId="1" applyNumberFormat="1" applyFont="1" applyBorder="1"/>
    <xf numFmtId="167" fontId="0" fillId="0" borderId="8" xfId="1" applyNumberFormat="1" applyFont="1" applyBorder="1"/>
    <xf numFmtId="167" fontId="0" fillId="0" borderId="0" xfId="1" applyNumberFormat="1" applyFont="1" applyBorder="1"/>
    <xf numFmtId="167" fontId="0" fillId="0" borderId="9" xfId="1" applyNumberFormat="1" applyFont="1" applyBorder="1"/>
    <xf numFmtId="167" fontId="0" fillId="0" borderId="2" xfId="1" applyNumberFormat="1" applyFont="1" applyBorder="1"/>
    <xf numFmtId="167" fontId="0" fillId="0" borderId="5" xfId="1" applyNumberFormat="1" applyFont="1" applyBorder="1"/>
    <xf numFmtId="167" fontId="0" fillId="0" borderId="7" xfId="1" applyNumberFormat="1" applyFont="1" applyBorder="1"/>
    <xf numFmtId="167" fontId="0" fillId="0" borderId="10" xfId="1" applyNumberFormat="1" applyFont="1" applyBorder="1"/>
    <xf numFmtId="0" fontId="1" fillId="7" borderId="1" xfId="0" applyFont="1" applyFill="1" applyBorder="1" applyAlignment="1">
      <alignment horizontal="center" vertical="top"/>
    </xf>
    <xf numFmtId="167" fontId="0" fillId="0" borderId="11" xfId="1" applyNumberFormat="1" applyFont="1" applyFill="1" applyBorder="1"/>
    <xf numFmtId="167" fontId="0" fillId="0" borderId="12" xfId="1" applyNumberFormat="1" applyFont="1" applyFill="1" applyBorder="1"/>
    <xf numFmtId="0" fontId="0" fillId="8" borderId="0" xfId="0" applyFill="1"/>
    <xf numFmtId="14" fontId="0" fillId="8" borderId="0" xfId="0" applyNumberFormat="1" applyFill="1"/>
    <xf numFmtId="44" fontId="0" fillId="8" borderId="0" xfId="2" applyFont="1" applyFill="1"/>
  </cellXfs>
  <cellStyles count="3">
    <cellStyle name="Moeda" xfId="2" builtinId="4"/>
    <cellStyle name="Normal" xfId="0" builtinId="0"/>
    <cellStyle name="Vírgula" xfId="1" builtinId="3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0</xdr:row>
      <xdr:rowOff>95250</xdr:rowOff>
    </xdr:from>
    <xdr:to>
      <xdr:col>10</xdr:col>
      <xdr:colOff>438150</xdr:colOff>
      <xdr:row>4</xdr:row>
      <xdr:rowOff>123825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A6168E0-15A6-F3B6-57ED-04E258063803}"/>
                </a:ext>
              </a:extLst>
            </xdr:cNvPr>
            <xdr:cNvSpPr txBox="1"/>
          </xdr:nvSpPr>
          <xdr:spPr>
            <a:xfrm>
              <a:off x="3768090" y="95250"/>
              <a:ext cx="3928110" cy="752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diasSemContato</m:t>
                        </m:r>
                        <m:r>
                          <a:rPr lang="pt-BR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ValorMin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𝑉𝑎𝑙𝑜𝑟𝑀𝑎𝑥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𝑉𝑎𝑙𝑜𝑟𝑀𝑖𝑛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A6168E0-15A6-F3B6-57ED-04E258063803}"/>
                </a:ext>
              </a:extLst>
            </xdr:cNvPr>
            <xdr:cNvSpPr txBox="1"/>
          </xdr:nvSpPr>
          <xdr:spPr>
            <a:xfrm>
              <a:off x="3768090" y="95250"/>
              <a:ext cx="3928110" cy="752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𝑆𝑐𝑜𝑟𝑒=(diasSemContato −ValorMin)/(𝑉𝑎𝑙𝑜𝑟𝑀𝑎𝑥 −𝑉𝑎𝑙𝑜𝑟𝑀𝑖𝑛)</a:t>
              </a:r>
              <a:endParaRPr lang="pt-BR"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0</xdr:row>
      <xdr:rowOff>95250</xdr:rowOff>
    </xdr:from>
    <xdr:to>
      <xdr:col>10</xdr:col>
      <xdr:colOff>438150</xdr:colOff>
      <xdr:row>3</xdr:row>
      <xdr:rowOff>57150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C5992485-8C9B-44DB-9D54-64C38F00E4FF}"/>
                </a:ext>
              </a:extLst>
            </xdr:cNvPr>
            <xdr:cNvSpPr txBox="1"/>
          </xdr:nvSpPr>
          <xdr:spPr>
            <a:xfrm>
              <a:off x="3768090" y="95250"/>
              <a:ext cx="3928110" cy="5048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0">
                        <a:latin typeface="Cambria Math" panose="02040503050406030204" pitchFamily="18" charset="0"/>
                      </a:rPr>
                      <m:t>1 −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diasParaAniversario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30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C5992485-8C9B-44DB-9D54-64C38F00E4FF}"/>
                </a:ext>
              </a:extLst>
            </xdr:cNvPr>
            <xdr:cNvSpPr txBox="1"/>
          </xdr:nvSpPr>
          <xdr:spPr>
            <a:xfrm>
              <a:off x="3768090" y="95250"/>
              <a:ext cx="3928110" cy="5048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𝑆𝑐𝑜𝑟𝑒=1 −diasParaAniversario/30</a:t>
              </a:r>
              <a:endParaRPr lang="pt-BR" sz="1100"/>
            </a:p>
          </xdr:txBody>
        </xdr:sp>
      </mc:Fallback>
    </mc:AlternateContent>
    <xdr:clientData/>
  </xdr:twoCellAnchor>
  <xdr:twoCellAnchor>
    <xdr:from>
      <xdr:col>4</xdr:col>
      <xdr:colOff>167640</xdr:colOff>
      <xdr:row>3</xdr:row>
      <xdr:rowOff>5715</xdr:rowOff>
    </xdr:from>
    <xdr:to>
      <xdr:col>10</xdr:col>
      <xdr:colOff>438150</xdr:colOff>
      <xdr:row>5</xdr:row>
      <xdr:rowOff>160020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36E8D15-BC50-42D6-AA3D-203BE5C1E80B}"/>
                </a:ext>
              </a:extLst>
            </xdr:cNvPr>
            <xdr:cNvSpPr txBox="1"/>
          </xdr:nvSpPr>
          <xdr:spPr>
            <a:xfrm>
              <a:off x="3768090" y="548640"/>
              <a:ext cx="3928110" cy="5162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=0,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𝑠𝑒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𝑑𝑖𝑎𝑠𝑃𝑎𝑟𝑎𝐴𝑛𝑖𝑣𝑒𝑟𝑠𝑎𝑟𝑖𝑜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&gt;30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36E8D15-BC50-42D6-AA3D-203BE5C1E80B}"/>
                </a:ext>
              </a:extLst>
            </xdr:cNvPr>
            <xdr:cNvSpPr txBox="1"/>
          </xdr:nvSpPr>
          <xdr:spPr>
            <a:xfrm>
              <a:off x="3768090" y="548640"/>
              <a:ext cx="3928110" cy="5162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𝑆𝑐𝑜𝑟𝑒=0, 𝑠𝑒 𝑑𝑖𝑎𝑠𝑃𝑎𝑟𝑎𝐴𝑛𝑖𝑣𝑒𝑟𝑠𝑎𝑟𝑖𝑜&gt;30</a:t>
              </a:r>
              <a:endParaRPr lang="pt-BR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95250</xdr:rowOff>
    </xdr:from>
    <xdr:to>
      <xdr:col>10</xdr:col>
      <xdr:colOff>434340</xdr:colOff>
      <xdr:row>4</xdr:row>
      <xdr:rowOff>55245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175351C-C004-4A78-B934-FD7074A6D781}"/>
                </a:ext>
              </a:extLst>
            </xdr:cNvPr>
            <xdr:cNvSpPr txBox="1"/>
          </xdr:nvSpPr>
          <xdr:spPr>
            <a:xfrm>
              <a:off x="3771900" y="276225"/>
              <a:ext cx="3920490" cy="5029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ValorMax</m:t>
                        </m:r>
                        <m:r>
                          <a:rPr lang="pt-BR" sz="1100" b="0" i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pt-BR" sz="1100" b="0" i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pt-BR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𝑑𝑖𝑎𝑠𝑃𝑎𝑟𝑎𝐴𝑔𝑒𝑛𝑑𝑎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𝑉𝑎𝑙𝑜𝑟𝑀𝑎𝑥</m:t>
                        </m:r>
                        <m:r>
                          <a:rPr lang="pt-BR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pt-BR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𝑉𝑎𝑙𝑜𝑟𝑀𝑖𝑛</m:t>
                        </m:r>
                      </m:den>
                    </m:f>
                  </m:oMath>
                </m:oMathPara>
              </a14:m>
              <a:endParaRPr lang="pt-BR">
                <a:effectLst/>
              </a:endParaRPr>
            </a:p>
            <a:p>
              <a:pPr/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175351C-C004-4A78-B934-FD7074A6D781}"/>
                </a:ext>
              </a:extLst>
            </xdr:cNvPr>
            <xdr:cNvSpPr txBox="1"/>
          </xdr:nvSpPr>
          <xdr:spPr>
            <a:xfrm>
              <a:off x="3771900" y="276225"/>
              <a:ext cx="3920490" cy="5029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0" i="0">
                  <a:latin typeface="Cambria Math" panose="02040503050406030204" pitchFamily="18" charset="0"/>
                </a:rPr>
                <a:t>𝑆𝑐𝑜𝑟𝑒</a:t>
              </a:r>
              <a:r>
                <a:rPr lang="pt-B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=(</a:t>
              </a:r>
              <a:r>
                <a:rPr lang="pt-BR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ValorMax</a:t>
              </a:r>
              <a:r>
                <a:rPr lang="pt-B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t-BR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−𝑑𝑖𝑎𝑠𝑃𝑎𝑟𝑎𝐴𝑔𝑒𝑛𝑑𝑎</a:t>
              </a:r>
              <a:r>
                <a:rPr lang="pt-BR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)/(𝑉𝑎𝑙𝑜𝑟𝑀𝑎𝑥 −𝑉𝑎𝑙𝑜𝑟𝑀𝑖𝑛)</a:t>
              </a:r>
              <a:endParaRPr lang="pt-BR">
                <a:effectLst/>
              </a:endParaRPr>
            </a:p>
            <a:p>
              <a:pPr/>
              <a:endParaRPr lang="pt-BR"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91440</xdr:rowOff>
    </xdr:from>
    <xdr:to>
      <xdr:col>10</xdr:col>
      <xdr:colOff>434340</xdr:colOff>
      <xdr:row>13</xdr:row>
      <xdr:rowOff>57150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A96E1ADA-7EE0-4E7B-BB02-5D7F922A1EC9}"/>
                </a:ext>
              </a:extLst>
            </xdr:cNvPr>
            <xdr:cNvSpPr txBox="1"/>
          </xdr:nvSpPr>
          <xdr:spPr>
            <a:xfrm>
              <a:off x="3768090" y="95250"/>
              <a:ext cx="39281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netTotal</m:t>
                        </m:r>
                        <m:r>
                          <a:rPr lang="pt-BR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ValorMin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𝑉𝑎𝑙𝑜𝑟𝑀𝑎𝑥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𝑉𝑎𝑙𝑜𝑟𝑀𝑖𝑛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A96E1ADA-7EE0-4E7B-BB02-5D7F922A1EC9}"/>
                </a:ext>
              </a:extLst>
            </xdr:cNvPr>
            <xdr:cNvSpPr txBox="1"/>
          </xdr:nvSpPr>
          <xdr:spPr>
            <a:xfrm>
              <a:off x="3768090" y="95250"/>
              <a:ext cx="39281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𝑆𝑐𝑜𝑟𝑒=(netTotal −ValorMin)/(𝑉𝑎𝑙𝑜𝑟𝑀𝑎𝑥 −𝑉𝑎𝑙𝑜𝑟𝑀𝑖𝑛)</a:t>
              </a:r>
              <a:endParaRPr lang="pt-BR"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91440</xdr:rowOff>
    </xdr:from>
    <xdr:to>
      <xdr:col>10</xdr:col>
      <xdr:colOff>434340</xdr:colOff>
      <xdr:row>9</xdr:row>
      <xdr:rowOff>57150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5B005E9-8187-45CF-A3D9-1670BCA69E6D}"/>
                </a:ext>
              </a:extLst>
            </xdr:cNvPr>
            <xdr:cNvSpPr txBox="1"/>
          </xdr:nvSpPr>
          <xdr:spPr>
            <a:xfrm>
              <a:off x="3768090" y="95250"/>
              <a:ext cx="39281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diasSemSugestao</m:t>
                        </m:r>
                        <m:r>
                          <a:rPr lang="pt-BR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ValorMin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𝑉𝑎𝑙𝑜𝑟𝑀𝑎𝑥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𝑉𝑎𝑙𝑜𝑟𝑀𝑖𝑛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5B005E9-8187-45CF-A3D9-1670BCA69E6D}"/>
                </a:ext>
              </a:extLst>
            </xdr:cNvPr>
            <xdr:cNvSpPr txBox="1"/>
          </xdr:nvSpPr>
          <xdr:spPr>
            <a:xfrm>
              <a:off x="3768090" y="95250"/>
              <a:ext cx="39281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𝑆𝑐𝑜𝑟𝑒=(diasSemSugestao −ValorMin)/(𝑉𝑎𝑙𝑜𝑟𝑀𝑎𝑥 −𝑉𝑎𝑙𝑜𝑟𝑀𝑖𝑛)</a:t>
              </a:r>
              <a:endParaRPr lang="pt-BR"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91440</xdr:rowOff>
    </xdr:from>
    <xdr:to>
      <xdr:col>10</xdr:col>
      <xdr:colOff>434340</xdr:colOff>
      <xdr:row>10</xdr:row>
      <xdr:rowOff>57150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6478EDB-5179-495E-B093-BE168C675006}"/>
                </a:ext>
              </a:extLst>
            </xdr:cNvPr>
            <xdr:cNvSpPr txBox="1"/>
          </xdr:nvSpPr>
          <xdr:spPr>
            <a:xfrm>
              <a:off x="3768090" y="95250"/>
              <a:ext cx="39281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saldoTotal</m:t>
                        </m:r>
                        <m:r>
                          <a:rPr lang="pt-BR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ValorMin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𝑉𝑎𝑙𝑜𝑟𝑀𝑎𝑥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𝑉𝑎𝑙𝑜𝑟𝑀𝑖𝑛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6478EDB-5179-495E-B093-BE168C675006}"/>
                </a:ext>
              </a:extLst>
            </xdr:cNvPr>
            <xdr:cNvSpPr txBox="1"/>
          </xdr:nvSpPr>
          <xdr:spPr>
            <a:xfrm>
              <a:off x="3768090" y="95250"/>
              <a:ext cx="39281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𝑆𝑐𝑜𝑟𝑒=(saldoTotal −ValorMin)/(𝑉𝑎𝑙𝑜𝑟𝑀𝑎𝑥 −𝑉𝑎𝑙𝑜𝑟𝑀𝑖𝑛)</a:t>
              </a:r>
              <a:endParaRPr lang="pt-BR"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0</xdr:row>
      <xdr:rowOff>95250</xdr:rowOff>
    </xdr:from>
    <xdr:to>
      <xdr:col>13</xdr:col>
      <xdr:colOff>361950</xdr:colOff>
      <xdr:row>10</xdr:row>
      <xdr:rowOff>53340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9CBAEDD5-6DBC-487C-8C43-480314D05E76}"/>
                </a:ext>
              </a:extLst>
            </xdr:cNvPr>
            <xdr:cNvSpPr txBox="1"/>
          </xdr:nvSpPr>
          <xdr:spPr>
            <a:xfrm>
              <a:off x="3768090" y="95250"/>
              <a:ext cx="56807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𝑆𝑐𝑜𝑟𝑒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ValorMax</m:t>
                        </m:r>
                        <m:r>
                          <a:rPr lang="pt-BR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diasParaVencimento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𝑉𝑎𝑙𝑜𝑟𝑀𝑎𝑥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𝑉𝑎𝑙𝑜𝑟𝑀𝑖𝑛</m:t>
                        </m:r>
                      </m:den>
                    </m:f>
                    <m:r>
                      <a:rPr lang="pt-BR" sz="1100" b="0" i="0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pt-BR" sz="1100" b="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netVen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𝑐𝑖𝑚𝑒𝑛𝑡𝑜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</m:t>
                        </m:r>
                        <m:sSub>
                          <m:sSub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𝑉𝑒𝑛</m:t>
                            </m:r>
                          </m:sub>
                        </m:sSub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𝑉𝑎𝑙𝑜𝑟𝑀𝑎</m:t>
                        </m:r>
                        <m:sSub>
                          <m:sSub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𝑉𝑒𝑛</m:t>
                            </m:r>
                          </m:sub>
                        </m:s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𝑉𝑎𝑙𝑜𝑟𝑀𝑖</m:t>
                        </m:r>
                        <m:sSub>
                          <m:sSub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𝑉𝑒𝑛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9CBAEDD5-6DBC-487C-8C43-480314D05E76}"/>
                </a:ext>
              </a:extLst>
            </xdr:cNvPr>
            <xdr:cNvSpPr txBox="1"/>
          </xdr:nvSpPr>
          <xdr:spPr>
            <a:xfrm>
              <a:off x="3768090" y="95250"/>
              <a:ext cx="5680710" cy="8629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𝑆𝑐𝑜𝑟𝑒=(ValorMax −diasParaVencimento)/(𝑉𝑎𝑙𝑜𝑟𝑀𝑎𝑥 −𝑉𝑎𝑙𝑜𝑟𝑀𝑖𝑛)∗(netVen𝑐𝑖𝑚𝑒𝑛𝑡𝑜 −𝑉𝑎𝑙𝑜𝑟𝑀𝑖𝑛_𝑉𝑒𝑛)/(𝑉𝑎𝑙𝑜𝑟𝑀𝑎𝑥_𝑉𝑒𝑛−𝑉𝑎𝑙𝑜𝑟𝑀𝑖𝑛_𝑉𝑒𝑛 )</a:t>
              </a:r>
              <a:endParaRPr lang="pt-B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8" sqref="J18"/>
    </sheetView>
  </sheetViews>
  <sheetFormatPr defaultRowHeight="14.4" x14ac:dyDescent="0.3"/>
  <cols>
    <col min="1" max="1" width="13.21875" customWidth="1"/>
    <col min="2" max="2" width="25.5546875" bestFit="1" customWidth="1"/>
    <col min="3" max="3" width="18.109375" bestFit="1" customWidth="1"/>
    <col min="4" max="4" width="19.33203125" bestFit="1" customWidth="1"/>
    <col min="5" max="5" width="37.44140625" bestFit="1" customWidth="1"/>
    <col min="6" max="6" width="19.21875" bestFit="1" customWidth="1"/>
    <col min="7" max="7" width="16.109375" bestFit="1" customWidth="1"/>
    <col min="8" max="8" width="21.44140625" bestFit="1" customWidth="1"/>
    <col min="9" max="9" width="21.44140625" customWidth="1"/>
    <col min="10" max="10" width="2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8</v>
      </c>
    </row>
    <row r="2" spans="1:10" x14ac:dyDescent="0.3">
      <c r="A2" t="s">
        <v>9</v>
      </c>
      <c r="B2" s="3">
        <v>45687</v>
      </c>
      <c r="C2" s="3">
        <v>45802</v>
      </c>
      <c r="D2" s="3">
        <v>45797</v>
      </c>
      <c r="E2" s="2">
        <v>278000</v>
      </c>
      <c r="F2" s="3">
        <v>45736</v>
      </c>
      <c r="G2" s="2">
        <v>17262</v>
      </c>
      <c r="H2" s="3">
        <v>45800</v>
      </c>
      <c r="I2" s="2">
        <v>91000</v>
      </c>
      <c r="J2">
        <v>0</v>
      </c>
    </row>
    <row r="3" spans="1:10" x14ac:dyDescent="0.3">
      <c r="A3" s="31" t="s">
        <v>10</v>
      </c>
      <c r="B3" s="32">
        <v>45441</v>
      </c>
      <c r="C3" s="32">
        <v>45952</v>
      </c>
      <c r="D3" s="32"/>
      <c r="E3" s="33">
        <v>73000</v>
      </c>
      <c r="F3" s="32">
        <v>45644</v>
      </c>
      <c r="G3" s="33">
        <v>9268</v>
      </c>
      <c r="H3" s="32">
        <v>45868</v>
      </c>
      <c r="I3" s="33">
        <v>7000</v>
      </c>
      <c r="J3" s="31">
        <v>0</v>
      </c>
    </row>
    <row r="4" spans="1:10" x14ac:dyDescent="0.3">
      <c r="A4" t="s">
        <v>11</v>
      </c>
      <c r="B4" s="3">
        <v>45519</v>
      </c>
      <c r="C4" s="3">
        <v>45816</v>
      </c>
      <c r="D4" s="3">
        <v>45848</v>
      </c>
      <c r="E4" s="2">
        <v>230000</v>
      </c>
      <c r="F4" s="3">
        <v>45746</v>
      </c>
      <c r="G4" s="2">
        <v>21271</v>
      </c>
      <c r="H4" s="3">
        <v>45796</v>
      </c>
      <c r="I4" s="2">
        <v>48000</v>
      </c>
      <c r="J4">
        <v>1</v>
      </c>
    </row>
    <row r="5" spans="1:10" x14ac:dyDescent="0.3">
      <c r="A5" t="s">
        <v>12</v>
      </c>
      <c r="B5" s="3">
        <v>45683</v>
      </c>
      <c r="C5" s="3">
        <v>46108</v>
      </c>
      <c r="D5" s="3">
        <v>45908</v>
      </c>
      <c r="E5" s="2">
        <v>392000</v>
      </c>
      <c r="F5" s="3">
        <v>45628</v>
      </c>
      <c r="G5" s="2">
        <v>12185</v>
      </c>
      <c r="H5" s="3"/>
      <c r="I5" s="2"/>
      <c r="J5">
        <v>1</v>
      </c>
    </row>
    <row r="6" spans="1:10" x14ac:dyDescent="0.3">
      <c r="A6" s="31" t="s">
        <v>13</v>
      </c>
      <c r="B6" s="32">
        <v>45718</v>
      </c>
      <c r="C6" s="32">
        <v>45971</v>
      </c>
      <c r="D6" s="32">
        <v>45841</v>
      </c>
      <c r="E6" s="33">
        <v>125000</v>
      </c>
      <c r="F6" s="32">
        <v>45776</v>
      </c>
      <c r="G6" s="33">
        <v>21243</v>
      </c>
      <c r="H6" s="32"/>
      <c r="I6" s="33"/>
      <c r="J6" s="31">
        <v>1</v>
      </c>
    </row>
    <row r="7" spans="1:10" x14ac:dyDescent="0.3">
      <c r="A7" s="31" t="s">
        <v>14</v>
      </c>
      <c r="B7" s="32">
        <v>45601</v>
      </c>
      <c r="C7" s="32">
        <v>46007</v>
      </c>
      <c r="D7" s="32"/>
      <c r="E7" s="33">
        <v>52000</v>
      </c>
      <c r="F7" s="32">
        <v>45695</v>
      </c>
      <c r="G7" s="33">
        <v>39099</v>
      </c>
      <c r="H7" s="32"/>
      <c r="I7" s="33"/>
      <c r="J7" s="31">
        <v>0</v>
      </c>
    </row>
    <row r="8" spans="1:10" x14ac:dyDescent="0.3">
      <c r="A8" s="31" t="s">
        <v>15</v>
      </c>
      <c r="B8" s="32">
        <v>45769</v>
      </c>
      <c r="C8" s="32">
        <v>46093</v>
      </c>
      <c r="D8" s="32"/>
      <c r="E8" s="33">
        <v>168000</v>
      </c>
      <c r="F8" s="32">
        <v>45742</v>
      </c>
      <c r="G8" s="33">
        <v>8571</v>
      </c>
      <c r="H8" s="32">
        <v>45800</v>
      </c>
      <c r="I8" s="33">
        <v>52000</v>
      </c>
      <c r="J8" s="31">
        <v>1</v>
      </c>
    </row>
    <row r="9" spans="1:10" x14ac:dyDescent="0.3">
      <c r="A9" s="31" t="s">
        <v>16</v>
      </c>
      <c r="B9" s="32">
        <v>45687</v>
      </c>
      <c r="C9" s="32">
        <v>45858</v>
      </c>
      <c r="D9" s="32">
        <v>45832</v>
      </c>
      <c r="E9" s="33">
        <v>325000</v>
      </c>
      <c r="F9" s="32">
        <v>45775</v>
      </c>
      <c r="G9" s="33">
        <v>39976</v>
      </c>
      <c r="H9" s="32">
        <v>45793</v>
      </c>
      <c r="I9" s="33">
        <v>10000</v>
      </c>
      <c r="J9" s="31">
        <v>0</v>
      </c>
    </row>
    <row r="10" spans="1:10" x14ac:dyDescent="0.3">
      <c r="A10" t="s">
        <v>17</v>
      </c>
      <c r="B10" s="3">
        <v>45668</v>
      </c>
      <c r="C10" s="3">
        <v>45903</v>
      </c>
      <c r="D10" s="3">
        <v>45835</v>
      </c>
      <c r="E10" s="2">
        <v>194000</v>
      </c>
      <c r="F10" s="3">
        <v>45750</v>
      </c>
      <c r="G10" s="2">
        <v>38044</v>
      </c>
      <c r="H10" s="3">
        <v>45814</v>
      </c>
      <c r="I10" s="2">
        <v>69000</v>
      </c>
      <c r="J10">
        <v>0</v>
      </c>
    </row>
    <row r="11" spans="1:10" x14ac:dyDescent="0.3">
      <c r="A11" t="s">
        <v>18</v>
      </c>
      <c r="B11" s="3">
        <v>45575</v>
      </c>
      <c r="C11" s="3">
        <v>45796</v>
      </c>
      <c r="D11" s="3"/>
      <c r="E11" s="2">
        <v>91000</v>
      </c>
      <c r="F11" s="3">
        <v>45708</v>
      </c>
      <c r="G11" s="2">
        <v>49216</v>
      </c>
      <c r="H11" s="3"/>
      <c r="I11" s="2"/>
      <c r="J11">
        <v>1</v>
      </c>
    </row>
  </sheetData>
  <autoFilter ref="A1:J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2DDF-3A6C-4CCD-9714-34D371D8FC5F}">
  <dimension ref="A1:K25"/>
  <sheetViews>
    <sheetView workbookViewId="0">
      <selection activeCell="J34" sqref="J34"/>
    </sheetView>
  </sheetViews>
  <sheetFormatPr defaultRowHeight="14.4" x14ac:dyDescent="0.3"/>
  <cols>
    <col min="1" max="1" width="9.5546875" bestFit="1" customWidth="1"/>
    <col min="2" max="2" width="26.109375" bestFit="1" customWidth="1"/>
  </cols>
  <sheetData>
    <row r="1" spans="1:11" x14ac:dyDescent="0.3">
      <c r="A1" t="s">
        <v>0</v>
      </c>
      <c r="B1" t="s">
        <v>1</v>
      </c>
      <c r="E1" s="4"/>
      <c r="F1" s="4"/>
      <c r="G1" s="4"/>
      <c r="H1" s="4"/>
      <c r="I1" s="4"/>
      <c r="J1" s="4"/>
      <c r="K1" s="4"/>
    </row>
    <row r="2" spans="1:11" x14ac:dyDescent="0.3">
      <c r="A2" t="s">
        <v>9</v>
      </c>
      <c r="B2" s="3">
        <v>45687</v>
      </c>
      <c r="E2" s="4"/>
      <c r="F2" s="4"/>
      <c r="G2" s="4"/>
      <c r="H2" s="4"/>
      <c r="I2" s="4"/>
      <c r="J2" s="4"/>
      <c r="K2" s="4"/>
    </row>
    <row r="3" spans="1:11" x14ac:dyDescent="0.3">
      <c r="A3" t="s">
        <v>10</v>
      </c>
      <c r="B3" s="3">
        <v>45441</v>
      </c>
      <c r="E3" s="4"/>
      <c r="F3" s="4"/>
      <c r="G3" s="4"/>
      <c r="H3" s="4"/>
      <c r="I3" s="4"/>
      <c r="J3" s="4"/>
      <c r="K3" s="4"/>
    </row>
    <row r="4" spans="1:11" x14ac:dyDescent="0.3">
      <c r="A4" t="s">
        <v>11</v>
      </c>
      <c r="B4" s="3">
        <v>45519</v>
      </c>
      <c r="E4" s="4"/>
      <c r="F4" s="4"/>
      <c r="G4" s="4"/>
      <c r="H4" s="4"/>
      <c r="I4" s="4"/>
      <c r="J4" s="4"/>
      <c r="K4" s="4"/>
    </row>
    <row r="5" spans="1:11" x14ac:dyDescent="0.3">
      <c r="A5" t="s">
        <v>12</v>
      </c>
      <c r="B5" s="3">
        <v>45683</v>
      </c>
      <c r="E5" s="4"/>
      <c r="F5" s="4"/>
      <c r="G5" s="4"/>
      <c r="H5" s="4"/>
      <c r="I5" s="4"/>
      <c r="J5" s="4"/>
      <c r="K5" s="4"/>
    </row>
    <row r="6" spans="1:11" x14ac:dyDescent="0.3">
      <c r="A6" t="s">
        <v>13</v>
      </c>
      <c r="B6" s="3">
        <v>45718</v>
      </c>
      <c r="E6" s="18"/>
      <c r="F6" s="18"/>
      <c r="G6" s="18"/>
      <c r="H6" s="18"/>
      <c r="I6" s="18"/>
      <c r="J6" s="18"/>
      <c r="K6" s="18"/>
    </row>
    <row r="7" spans="1:11" x14ac:dyDescent="0.3">
      <c r="A7" t="s">
        <v>14</v>
      </c>
      <c r="B7" s="3">
        <v>45601</v>
      </c>
      <c r="E7" s="18"/>
      <c r="F7" s="18"/>
      <c r="G7" s="18"/>
      <c r="H7" s="18"/>
      <c r="I7" s="18"/>
      <c r="J7" s="18"/>
      <c r="K7" s="18"/>
    </row>
    <row r="8" spans="1:11" x14ac:dyDescent="0.3">
      <c r="A8" t="s">
        <v>15</v>
      </c>
      <c r="B8" s="3">
        <v>45769</v>
      </c>
      <c r="E8" s="18"/>
      <c r="F8" s="18"/>
      <c r="G8" s="18"/>
      <c r="H8" s="18"/>
      <c r="I8" s="18"/>
      <c r="J8" s="18"/>
      <c r="K8" s="18"/>
    </row>
    <row r="9" spans="1:11" x14ac:dyDescent="0.3">
      <c r="A9" t="s">
        <v>16</v>
      </c>
      <c r="B9" s="3">
        <v>45687</v>
      </c>
      <c r="E9" s="18"/>
      <c r="F9" s="18"/>
      <c r="G9" s="18"/>
      <c r="H9" s="18"/>
      <c r="I9" s="18"/>
      <c r="J9" s="18"/>
      <c r="K9" s="18"/>
    </row>
    <row r="10" spans="1:11" x14ac:dyDescent="0.3">
      <c r="A10" t="s">
        <v>17</v>
      </c>
      <c r="B10" s="3">
        <v>45668</v>
      </c>
      <c r="E10" s="18"/>
      <c r="F10" s="18"/>
      <c r="G10" s="18"/>
      <c r="H10" s="18"/>
      <c r="I10" s="18"/>
      <c r="J10" s="18"/>
      <c r="K10" s="18"/>
    </row>
    <row r="11" spans="1:11" x14ac:dyDescent="0.3">
      <c r="A11" t="s">
        <v>18</v>
      </c>
      <c r="B11" s="3">
        <v>45575</v>
      </c>
      <c r="E11" s="18"/>
      <c r="F11" s="18"/>
      <c r="G11" s="18"/>
      <c r="H11" s="18"/>
      <c r="I11" s="18"/>
      <c r="J11" s="18"/>
      <c r="K11" s="18"/>
    </row>
    <row r="13" spans="1:11" s="5" customFormat="1" x14ac:dyDescent="0.3"/>
    <row r="15" spans="1:11" x14ac:dyDescent="0.3">
      <c r="A15" s="8" t="s">
        <v>0</v>
      </c>
      <c r="B15" s="8" t="s">
        <v>19</v>
      </c>
      <c r="D15" s="8" t="s">
        <v>20</v>
      </c>
      <c r="E15" s="8" t="s">
        <v>21</v>
      </c>
      <c r="G15" s="8" t="s">
        <v>0</v>
      </c>
      <c r="H15" s="8" t="s">
        <v>22</v>
      </c>
    </row>
    <row r="16" spans="1:11" x14ac:dyDescent="0.3">
      <c r="A16" s="7" t="s">
        <v>9</v>
      </c>
      <c r="B16" s="9">
        <f ca="1">TODAY()-B2</f>
        <v>102</v>
      </c>
      <c r="D16" s="7">
        <f ca="1">LARGE($B$16:$B$25,1)</f>
        <v>348</v>
      </c>
      <c r="E16" s="7">
        <f ca="1">SMALL($B$16:$B$25,1)</f>
        <v>20</v>
      </c>
      <c r="G16" s="7" t="s">
        <v>9</v>
      </c>
      <c r="H16" s="10">
        <f ca="1">(B16-$E$16)/($D$16-$E$16)</f>
        <v>0.25</v>
      </c>
    </row>
    <row r="17" spans="1:8" x14ac:dyDescent="0.3">
      <c r="A17" s="7" t="s">
        <v>10</v>
      </c>
      <c r="B17" s="9">
        <f ca="1">TODAY()-B3</f>
        <v>348</v>
      </c>
      <c r="G17" s="7" t="s">
        <v>10</v>
      </c>
      <c r="H17" s="10">
        <f t="shared" ref="H17:H20" ca="1" si="0">(B17-$E$16)/($D$16-$E$16)</f>
        <v>1</v>
      </c>
    </row>
    <row r="18" spans="1:8" x14ac:dyDescent="0.3">
      <c r="A18" s="7" t="s">
        <v>11</v>
      </c>
      <c r="B18" s="9">
        <f ca="1">TODAY()-B4</f>
        <v>270</v>
      </c>
      <c r="G18" s="7" t="s">
        <v>11</v>
      </c>
      <c r="H18" s="10">
        <f t="shared" ca="1" si="0"/>
        <v>0.76219512195121952</v>
      </c>
    </row>
    <row r="19" spans="1:8" x14ac:dyDescent="0.3">
      <c r="A19" s="7" t="s">
        <v>12</v>
      </c>
      <c r="B19" s="9">
        <f t="shared" ref="B19:B25" ca="1" si="1">TODAY()-B5</f>
        <v>106</v>
      </c>
      <c r="G19" s="7" t="s">
        <v>12</v>
      </c>
      <c r="H19" s="10">
        <f t="shared" ca="1" si="0"/>
        <v>0.26219512195121952</v>
      </c>
    </row>
    <row r="20" spans="1:8" x14ac:dyDescent="0.3">
      <c r="A20" s="7" t="s">
        <v>13</v>
      </c>
      <c r="B20" s="9">
        <f t="shared" ca="1" si="1"/>
        <v>71</v>
      </c>
      <c r="G20" s="7" t="s">
        <v>13</v>
      </c>
      <c r="H20" s="10">
        <f t="shared" ca="1" si="0"/>
        <v>0.15548780487804878</v>
      </c>
    </row>
    <row r="21" spans="1:8" x14ac:dyDescent="0.3">
      <c r="A21" s="7" t="s">
        <v>14</v>
      </c>
      <c r="B21" s="9">
        <f t="shared" ca="1" si="1"/>
        <v>188</v>
      </c>
      <c r="G21" s="7" t="s">
        <v>14</v>
      </c>
      <c r="H21" s="10">
        <f t="shared" ref="H21:H25" ca="1" si="2">(B21-$E$16)/($D$16-$E$16)</f>
        <v>0.51219512195121952</v>
      </c>
    </row>
    <row r="22" spans="1:8" x14ac:dyDescent="0.3">
      <c r="A22" s="7" t="s">
        <v>15</v>
      </c>
      <c r="B22" s="9">
        <f t="shared" ca="1" si="1"/>
        <v>20</v>
      </c>
      <c r="G22" s="7" t="s">
        <v>15</v>
      </c>
      <c r="H22" s="10">
        <f t="shared" ca="1" si="2"/>
        <v>0</v>
      </c>
    </row>
    <row r="23" spans="1:8" x14ac:dyDescent="0.3">
      <c r="A23" s="7" t="s">
        <v>16</v>
      </c>
      <c r="B23" s="9">
        <f t="shared" ca="1" si="1"/>
        <v>102</v>
      </c>
      <c r="G23" s="7" t="s">
        <v>16</v>
      </c>
      <c r="H23" s="10">
        <f t="shared" ca="1" si="2"/>
        <v>0.25</v>
      </c>
    </row>
    <row r="24" spans="1:8" x14ac:dyDescent="0.3">
      <c r="A24" s="7" t="s">
        <v>17</v>
      </c>
      <c r="B24" s="9">
        <f t="shared" ca="1" si="1"/>
        <v>121</v>
      </c>
      <c r="G24" s="7" t="s">
        <v>17</v>
      </c>
      <c r="H24" s="10">
        <f t="shared" ca="1" si="2"/>
        <v>0.30792682926829268</v>
      </c>
    </row>
    <row r="25" spans="1:8" x14ac:dyDescent="0.3">
      <c r="A25" s="7" t="s">
        <v>18</v>
      </c>
      <c r="B25" s="9">
        <f t="shared" ca="1" si="1"/>
        <v>214</v>
      </c>
      <c r="G25" s="7" t="s">
        <v>18</v>
      </c>
      <c r="H25" s="10">
        <f t="shared" ca="1" si="2"/>
        <v>0.59146341463414631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F4BB-D5BE-4C9B-8068-EBC3FA3EE279}">
  <dimension ref="A1:K25"/>
  <sheetViews>
    <sheetView workbookViewId="0">
      <selection activeCell="B8" sqref="B8"/>
    </sheetView>
  </sheetViews>
  <sheetFormatPr defaultRowHeight="14.4" x14ac:dyDescent="0.3"/>
  <cols>
    <col min="1" max="1" width="8.5546875" bestFit="1" customWidth="1"/>
    <col min="2" max="2" width="26.109375" bestFit="1" customWidth="1"/>
  </cols>
  <sheetData>
    <row r="1" spans="1:11" x14ac:dyDescent="0.3">
      <c r="A1" t="s">
        <v>0</v>
      </c>
      <c r="B1" t="s">
        <v>2</v>
      </c>
      <c r="E1" s="4"/>
      <c r="F1" s="4"/>
      <c r="G1" s="4"/>
      <c r="H1" s="4"/>
      <c r="I1" s="4"/>
      <c r="J1" s="4"/>
      <c r="K1" s="4"/>
    </row>
    <row r="2" spans="1:11" x14ac:dyDescent="0.3">
      <c r="A2" t="s">
        <v>9</v>
      </c>
      <c r="B2" s="3">
        <v>45802</v>
      </c>
      <c r="E2" s="4"/>
      <c r="F2" s="4"/>
      <c r="G2" s="4"/>
      <c r="H2" s="4"/>
      <c r="I2" s="4"/>
      <c r="J2" s="4"/>
      <c r="K2" s="4"/>
    </row>
    <row r="3" spans="1:11" x14ac:dyDescent="0.3">
      <c r="A3" t="s">
        <v>10</v>
      </c>
      <c r="B3" s="3">
        <v>45952</v>
      </c>
      <c r="E3" s="4"/>
      <c r="F3" s="4"/>
      <c r="G3" s="4"/>
      <c r="H3" s="4"/>
      <c r="I3" s="4"/>
      <c r="J3" s="4"/>
      <c r="K3" s="4"/>
    </row>
    <row r="4" spans="1:11" x14ac:dyDescent="0.3">
      <c r="A4" t="s">
        <v>11</v>
      </c>
      <c r="B4" s="3">
        <v>45816</v>
      </c>
      <c r="E4" s="4"/>
      <c r="F4" s="4"/>
      <c r="G4" s="4"/>
      <c r="H4" s="4"/>
      <c r="I4" s="4"/>
      <c r="J4" s="4"/>
      <c r="K4" s="4"/>
    </row>
    <row r="5" spans="1:11" x14ac:dyDescent="0.3">
      <c r="A5" t="s">
        <v>12</v>
      </c>
      <c r="B5" s="3">
        <v>46108</v>
      </c>
      <c r="E5" s="4"/>
      <c r="F5" s="4"/>
      <c r="G5" s="4"/>
      <c r="H5" s="4"/>
      <c r="I5" s="4"/>
      <c r="J5" s="4"/>
      <c r="K5" s="4"/>
    </row>
    <row r="6" spans="1:11" x14ac:dyDescent="0.3">
      <c r="A6" t="s">
        <v>13</v>
      </c>
      <c r="B6" s="3">
        <v>45971</v>
      </c>
      <c r="E6" s="4"/>
      <c r="F6" s="4"/>
      <c r="G6" s="4"/>
      <c r="H6" s="4"/>
      <c r="I6" s="4"/>
      <c r="J6" s="4"/>
      <c r="K6" s="4"/>
    </row>
    <row r="7" spans="1:11" x14ac:dyDescent="0.3">
      <c r="A7" t="s">
        <v>14</v>
      </c>
      <c r="B7" s="3">
        <v>46007</v>
      </c>
      <c r="E7" s="18"/>
      <c r="F7" s="18"/>
      <c r="G7" s="18"/>
      <c r="H7" s="18"/>
      <c r="I7" s="18"/>
      <c r="J7" s="18"/>
      <c r="K7" s="18"/>
    </row>
    <row r="8" spans="1:11" x14ac:dyDescent="0.3">
      <c r="A8" t="s">
        <v>15</v>
      </c>
      <c r="B8" s="3">
        <v>46093</v>
      </c>
      <c r="E8" s="18"/>
      <c r="F8" s="18"/>
      <c r="G8" s="18"/>
      <c r="H8" s="18"/>
      <c r="I8" s="18"/>
      <c r="J8" s="18"/>
      <c r="K8" s="18"/>
    </row>
    <row r="9" spans="1:11" x14ac:dyDescent="0.3">
      <c r="A9" t="s">
        <v>16</v>
      </c>
      <c r="B9" s="3">
        <v>45858</v>
      </c>
      <c r="E9" s="18"/>
      <c r="F9" s="18"/>
      <c r="G9" s="18"/>
      <c r="H9" s="18"/>
      <c r="I9" s="18"/>
      <c r="J9" s="18"/>
      <c r="K9" s="18"/>
    </row>
    <row r="10" spans="1:11" x14ac:dyDescent="0.3">
      <c r="A10" t="s">
        <v>17</v>
      </c>
      <c r="B10" s="3">
        <v>45903</v>
      </c>
      <c r="E10" s="18"/>
      <c r="F10" s="18"/>
      <c r="G10" s="18"/>
      <c r="H10" s="18"/>
      <c r="I10" s="18"/>
      <c r="J10" s="18"/>
      <c r="K10" s="18"/>
    </row>
    <row r="11" spans="1:11" x14ac:dyDescent="0.3">
      <c r="A11" t="s">
        <v>18</v>
      </c>
      <c r="B11" s="3">
        <v>45796</v>
      </c>
      <c r="E11" s="18"/>
      <c r="F11" s="18"/>
      <c r="G11" s="18"/>
      <c r="H11" s="18"/>
      <c r="I11" s="18"/>
      <c r="J11" s="18"/>
      <c r="K11" s="18"/>
    </row>
    <row r="13" spans="1:11" s="5" customFormat="1" x14ac:dyDescent="0.3"/>
    <row r="15" spans="1:11" x14ac:dyDescent="0.3">
      <c r="A15" s="8" t="s">
        <v>0</v>
      </c>
      <c r="B15" s="8" t="s">
        <v>23</v>
      </c>
      <c r="E15" s="8" t="s">
        <v>0</v>
      </c>
      <c r="F15" s="8" t="s">
        <v>22</v>
      </c>
    </row>
    <row r="16" spans="1:11" x14ac:dyDescent="0.3">
      <c r="A16" s="7" t="s">
        <v>9</v>
      </c>
      <c r="B16" s="9">
        <f ca="1">B2-TODAY()</f>
        <v>13</v>
      </c>
      <c r="E16" s="7" t="s">
        <v>9</v>
      </c>
      <c r="F16" s="10">
        <f ca="1">IF(B16&gt;30,0,1-(B16/30))</f>
        <v>0.56666666666666665</v>
      </c>
    </row>
    <row r="17" spans="1:6" x14ac:dyDescent="0.3">
      <c r="A17" s="7" t="s">
        <v>10</v>
      </c>
      <c r="B17" s="9">
        <f t="shared" ref="B17:B24" ca="1" si="0">B3-TODAY()</f>
        <v>163</v>
      </c>
      <c r="E17" s="7" t="s">
        <v>10</v>
      </c>
      <c r="F17" s="10">
        <f t="shared" ref="F17:F20" ca="1" si="1">IF(B17&gt;30,0,1-(B17/30))</f>
        <v>0</v>
      </c>
    </row>
    <row r="18" spans="1:6" x14ac:dyDescent="0.3">
      <c r="A18" s="7" t="s">
        <v>11</v>
      </c>
      <c r="B18" s="9">
        <f t="shared" ca="1" si="0"/>
        <v>27</v>
      </c>
      <c r="E18" s="7" t="s">
        <v>11</v>
      </c>
      <c r="F18" s="10">
        <f t="shared" ca="1" si="1"/>
        <v>9.9999999999999978E-2</v>
      </c>
    </row>
    <row r="19" spans="1:6" x14ac:dyDescent="0.3">
      <c r="A19" s="7" t="s">
        <v>12</v>
      </c>
      <c r="B19" s="9">
        <f t="shared" ca="1" si="0"/>
        <v>319</v>
      </c>
      <c r="E19" s="7" t="s">
        <v>12</v>
      </c>
      <c r="F19" s="10">
        <f t="shared" ca="1" si="1"/>
        <v>0</v>
      </c>
    </row>
    <row r="20" spans="1:6" x14ac:dyDescent="0.3">
      <c r="A20" s="7" t="s">
        <v>13</v>
      </c>
      <c r="B20" s="9">
        <f t="shared" ca="1" si="0"/>
        <v>182</v>
      </c>
      <c r="E20" s="7" t="s">
        <v>13</v>
      </c>
      <c r="F20" s="10">
        <f t="shared" ca="1" si="1"/>
        <v>0</v>
      </c>
    </row>
    <row r="21" spans="1:6" x14ac:dyDescent="0.3">
      <c r="A21" s="7" t="s">
        <v>14</v>
      </c>
      <c r="B21" s="9">
        <f t="shared" ca="1" si="0"/>
        <v>218</v>
      </c>
      <c r="E21" s="7" t="s">
        <v>14</v>
      </c>
      <c r="F21" s="10">
        <f t="shared" ref="F21:F25" ca="1" si="2">IF(B21&gt;30,0,1-(B21/30))</f>
        <v>0</v>
      </c>
    </row>
    <row r="22" spans="1:6" x14ac:dyDescent="0.3">
      <c r="A22" s="7" t="s">
        <v>15</v>
      </c>
      <c r="B22" s="9">
        <f t="shared" ca="1" si="0"/>
        <v>304</v>
      </c>
      <c r="E22" s="7" t="s">
        <v>15</v>
      </c>
      <c r="F22" s="10">
        <f t="shared" ca="1" si="2"/>
        <v>0</v>
      </c>
    </row>
    <row r="23" spans="1:6" x14ac:dyDescent="0.3">
      <c r="A23" s="7" t="s">
        <v>16</v>
      </c>
      <c r="B23" s="9">
        <f t="shared" ca="1" si="0"/>
        <v>69</v>
      </c>
      <c r="E23" s="7" t="s">
        <v>16</v>
      </c>
      <c r="F23" s="10">
        <f t="shared" ca="1" si="2"/>
        <v>0</v>
      </c>
    </row>
    <row r="24" spans="1:6" x14ac:dyDescent="0.3">
      <c r="A24" s="7" t="s">
        <v>17</v>
      </c>
      <c r="B24" s="9">
        <f t="shared" ca="1" si="0"/>
        <v>114</v>
      </c>
      <c r="E24" s="7" t="s">
        <v>17</v>
      </c>
      <c r="F24" s="10">
        <f t="shared" ca="1" si="2"/>
        <v>0</v>
      </c>
    </row>
    <row r="25" spans="1:6" x14ac:dyDescent="0.3">
      <c r="A25" s="7" t="s">
        <v>18</v>
      </c>
      <c r="B25" s="9">
        <f ca="1">B11-TODAY()</f>
        <v>7</v>
      </c>
      <c r="E25" s="7" t="s">
        <v>18</v>
      </c>
      <c r="F25" s="10">
        <f t="shared" ca="1" si="2"/>
        <v>0.76666666666666661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F1CB-68B5-4BA6-B28B-9DE342A822FE}">
  <dimension ref="A1:K25"/>
  <sheetViews>
    <sheetView workbookViewId="0">
      <selection activeCell="B16" sqref="B16"/>
    </sheetView>
  </sheetViews>
  <sheetFormatPr defaultRowHeight="14.4" x14ac:dyDescent="0.3"/>
  <cols>
    <col min="1" max="1" width="8.5546875" bestFit="1" customWidth="1"/>
    <col min="2" max="2" width="26.109375" bestFit="1" customWidth="1"/>
  </cols>
  <sheetData>
    <row r="1" spans="1:11" x14ac:dyDescent="0.3">
      <c r="A1" t="s">
        <v>0</v>
      </c>
      <c r="B1" t="s">
        <v>3</v>
      </c>
      <c r="E1" s="4"/>
      <c r="F1" s="4"/>
      <c r="G1" s="4"/>
      <c r="H1" s="4"/>
      <c r="I1" s="4"/>
      <c r="J1" s="4"/>
      <c r="K1" s="4"/>
    </row>
    <row r="2" spans="1:11" x14ac:dyDescent="0.3">
      <c r="A2" t="s">
        <v>9</v>
      </c>
      <c r="B2" s="3">
        <v>45797</v>
      </c>
      <c r="E2" s="4"/>
      <c r="F2" s="4"/>
      <c r="G2" s="4"/>
      <c r="H2" s="4"/>
      <c r="I2" s="4"/>
      <c r="J2" s="4"/>
      <c r="K2" s="4"/>
    </row>
    <row r="3" spans="1:11" x14ac:dyDescent="0.3">
      <c r="A3" t="s">
        <v>10</v>
      </c>
      <c r="B3" s="3"/>
      <c r="E3" s="4"/>
      <c r="F3" s="4"/>
      <c r="G3" s="4"/>
      <c r="H3" s="4"/>
      <c r="I3" s="4"/>
      <c r="J3" s="4"/>
      <c r="K3" s="4"/>
    </row>
    <row r="4" spans="1:11" x14ac:dyDescent="0.3">
      <c r="A4" t="s">
        <v>11</v>
      </c>
      <c r="B4" s="3">
        <v>45848</v>
      </c>
      <c r="E4" s="4"/>
      <c r="F4" s="4"/>
      <c r="G4" s="4"/>
      <c r="H4" s="4"/>
      <c r="I4" s="4"/>
      <c r="J4" s="4"/>
      <c r="K4" s="4"/>
    </row>
    <row r="5" spans="1:11" x14ac:dyDescent="0.3">
      <c r="A5" t="s">
        <v>12</v>
      </c>
      <c r="B5" s="3">
        <v>45908</v>
      </c>
      <c r="E5" s="4"/>
      <c r="F5" s="4"/>
      <c r="G5" s="4"/>
      <c r="H5" s="4"/>
      <c r="I5" s="4"/>
      <c r="J5" s="4"/>
      <c r="K5" s="4"/>
    </row>
    <row r="6" spans="1:11" x14ac:dyDescent="0.3">
      <c r="A6" t="s">
        <v>13</v>
      </c>
      <c r="B6" s="3">
        <v>45841</v>
      </c>
      <c r="E6" s="4"/>
      <c r="F6" s="4"/>
      <c r="G6" s="4"/>
      <c r="H6" s="4"/>
      <c r="I6" s="4"/>
      <c r="J6" s="4"/>
      <c r="K6" s="4"/>
    </row>
    <row r="7" spans="1:11" x14ac:dyDescent="0.3">
      <c r="A7" t="s">
        <v>14</v>
      </c>
      <c r="B7" s="3"/>
      <c r="E7" s="4"/>
      <c r="F7" s="4"/>
      <c r="G7" s="4"/>
      <c r="H7" s="4"/>
      <c r="I7" s="4"/>
      <c r="J7" s="4"/>
      <c r="K7" s="4"/>
    </row>
    <row r="8" spans="1:11" x14ac:dyDescent="0.3">
      <c r="A8" t="s">
        <v>15</v>
      </c>
      <c r="B8" s="3"/>
      <c r="E8" s="4"/>
      <c r="F8" s="4"/>
      <c r="G8" s="4"/>
      <c r="H8" s="4"/>
      <c r="I8" s="4"/>
      <c r="J8" s="4"/>
      <c r="K8" s="4"/>
    </row>
    <row r="9" spans="1:11" x14ac:dyDescent="0.3">
      <c r="A9" t="s">
        <v>16</v>
      </c>
      <c r="B9" s="3">
        <v>45832</v>
      </c>
      <c r="E9" s="4"/>
      <c r="F9" s="4"/>
      <c r="G9" s="4"/>
      <c r="H9" s="4"/>
      <c r="I9" s="4"/>
      <c r="J9" s="4"/>
      <c r="K9" s="4"/>
    </row>
    <row r="10" spans="1:11" x14ac:dyDescent="0.3">
      <c r="A10" t="s">
        <v>17</v>
      </c>
      <c r="B10" s="3">
        <v>45835</v>
      </c>
      <c r="E10" s="4"/>
      <c r="F10" s="4"/>
      <c r="G10" s="4"/>
      <c r="H10" s="4"/>
      <c r="I10" s="4"/>
      <c r="J10" s="4"/>
      <c r="K10" s="4"/>
    </row>
    <row r="11" spans="1:11" x14ac:dyDescent="0.3">
      <c r="A11" t="s">
        <v>18</v>
      </c>
      <c r="B11" s="3"/>
      <c r="E11" s="4"/>
      <c r="F11" s="4"/>
      <c r="G11" s="4"/>
      <c r="H11" s="4"/>
      <c r="I11" s="4"/>
      <c r="J11" s="4"/>
      <c r="K11" s="4"/>
    </row>
    <row r="13" spans="1:11" s="5" customFormat="1" x14ac:dyDescent="0.3"/>
    <row r="15" spans="1:11" x14ac:dyDescent="0.3">
      <c r="A15" s="8" t="s">
        <v>0</v>
      </c>
      <c r="B15" s="8" t="s">
        <v>42</v>
      </c>
      <c r="D15" s="8" t="s">
        <v>20</v>
      </c>
      <c r="E15" s="8" t="s">
        <v>21</v>
      </c>
      <c r="G15" s="8" t="s">
        <v>0</v>
      </c>
      <c r="H15" s="8" t="s">
        <v>22</v>
      </c>
    </row>
    <row r="16" spans="1:11" x14ac:dyDescent="0.3">
      <c r="A16" s="7" t="s">
        <v>9</v>
      </c>
      <c r="B16" s="9">
        <f ca="1">IF(B2="",0,B2-TODAY())</f>
        <v>8</v>
      </c>
      <c r="D16" s="7">
        <f ca="1">LARGE($B$16:$B$25,1)</f>
        <v>119</v>
      </c>
      <c r="E16" s="7">
        <f ca="1">SMALL($B$16:$B$25,1)</f>
        <v>0</v>
      </c>
      <c r="G16" s="7" t="s">
        <v>9</v>
      </c>
      <c r="H16" s="12">
        <f ca="1">IF(B16=0,0,($D$16-B16)/($D$16-$E$16))</f>
        <v>0.9327731092436975</v>
      </c>
    </row>
    <row r="17" spans="1:10" x14ac:dyDescent="0.3">
      <c r="A17" s="7" t="s">
        <v>10</v>
      </c>
      <c r="B17" s="9">
        <f ca="1">IF(B3="",0,B3-TODAY())</f>
        <v>0</v>
      </c>
      <c r="G17" s="11" t="s">
        <v>10</v>
      </c>
      <c r="H17" s="12">
        <f t="shared" ref="H17:H25" ca="1" si="0">IF(B17=0,0,($D$16-B17)/($D$16-$E$16))</f>
        <v>0</v>
      </c>
      <c r="J17" t="s">
        <v>24</v>
      </c>
    </row>
    <row r="18" spans="1:10" x14ac:dyDescent="0.3">
      <c r="A18" s="7" t="s">
        <v>11</v>
      </c>
      <c r="B18" s="9">
        <f ca="1">IF(B4="",0,B4-TODAY())</f>
        <v>59</v>
      </c>
      <c r="G18" s="7" t="s">
        <v>11</v>
      </c>
      <c r="H18" s="12">
        <f t="shared" ca="1" si="0"/>
        <v>0.50420168067226889</v>
      </c>
    </row>
    <row r="19" spans="1:10" x14ac:dyDescent="0.3">
      <c r="A19" s="7" t="s">
        <v>12</v>
      </c>
      <c r="B19" s="9">
        <f ca="1">IF(B5="",0,B5-TODAY())</f>
        <v>119</v>
      </c>
      <c r="G19" s="7" t="s">
        <v>12</v>
      </c>
      <c r="H19" s="12">
        <f t="shared" ca="1" si="0"/>
        <v>0</v>
      </c>
    </row>
    <row r="20" spans="1:10" x14ac:dyDescent="0.3">
      <c r="A20" s="7" t="s">
        <v>13</v>
      </c>
      <c r="B20" s="9">
        <f t="shared" ref="B20:B25" ca="1" si="1">IF(B6="",0,B6-TODAY())</f>
        <v>52</v>
      </c>
      <c r="G20" s="7" t="s">
        <v>13</v>
      </c>
      <c r="H20" s="12">
        <f t="shared" ca="1" si="0"/>
        <v>0.56302521008403361</v>
      </c>
    </row>
    <row r="21" spans="1:10" x14ac:dyDescent="0.3">
      <c r="A21" s="7" t="s">
        <v>14</v>
      </c>
      <c r="B21" s="9">
        <f t="shared" ca="1" si="1"/>
        <v>0</v>
      </c>
      <c r="G21" s="11" t="s">
        <v>14</v>
      </c>
      <c r="H21" s="12">
        <f t="shared" ca="1" si="0"/>
        <v>0</v>
      </c>
    </row>
    <row r="22" spans="1:10" x14ac:dyDescent="0.3">
      <c r="A22" s="7" t="s">
        <v>15</v>
      </c>
      <c r="B22" s="9">
        <f t="shared" ca="1" si="1"/>
        <v>0</v>
      </c>
      <c r="G22" s="11" t="s">
        <v>15</v>
      </c>
      <c r="H22" s="12">
        <f t="shared" ca="1" si="0"/>
        <v>0</v>
      </c>
    </row>
    <row r="23" spans="1:10" x14ac:dyDescent="0.3">
      <c r="A23" s="7" t="s">
        <v>16</v>
      </c>
      <c r="B23" s="9">
        <f t="shared" ca="1" si="1"/>
        <v>43</v>
      </c>
      <c r="G23" s="7" t="s">
        <v>16</v>
      </c>
      <c r="H23" s="12">
        <f t="shared" ca="1" si="0"/>
        <v>0.6386554621848739</v>
      </c>
    </row>
    <row r="24" spans="1:10" x14ac:dyDescent="0.3">
      <c r="A24" s="7" t="s">
        <v>17</v>
      </c>
      <c r="B24" s="9">
        <f t="shared" ca="1" si="1"/>
        <v>46</v>
      </c>
      <c r="G24" s="7" t="s">
        <v>17</v>
      </c>
      <c r="H24" s="12">
        <f t="shared" ca="1" si="0"/>
        <v>0.61344537815126055</v>
      </c>
    </row>
    <row r="25" spans="1:10" x14ac:dyDescent="0.3">
      <c r="A25" s="7" t="s">
        <v>18</v>
      </c>
      <c r="B25" s="9">
        <f t="shared" ca="1" si="1"/>
        <v>0</v>
      </c>
      <c r="G25" s="11" t="s">
        <v>18</v>
      </c>
      <c r="H25" s="12">
        <f t="shared" ca="1" si="0"/>
        <v>0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317C-B9BC-407B-B460-8F2EB34FA933}">
  <dimension ref="A1:K28"/>
  <sheetViews>
    <sheetView workbookViewId="0">
      <selection activeCell="D18" sqref="D18:E19"/>
    </sheetView>
  </sheetViews>
  <sheetFormatPr defaultRowHeight="14.4" x14ac:dyDescent="0.3"/>
  <cols>
    <col min="1" max="1" width="8.5546875" bestFit="1" customWidth="1"/>
    <col min="2" max="2" width="26.109375" bestFit="1" customWidth="1"/>
  </cols>
  <sheetData>
    <row r="1" spans="1:11" x14ac:dyDescent="0.3">
      <c r="A1" t="s">
        <v>0</v>
      </c>
      <c r="B1" t="s">
        <v>25</v>
      </c>
      <c r="E1" s="4"/>
      <c r="F1" s="4"/>
      <c r="G1" s="4"/>
      <c r="H1" s="4"/>
      <c r="I1" s="4"/>
      <c r="J1" s="4"/>
      <c r="K1" s="4"/>
    </row>
    <row r="2" spans="1:11" x14ac:dyDescent="0.3">
      <c r="A2" t="s">
        <v>9</v>
      </c>
      <c r="B2" s="2">
        <v>278000</v>
      </c>
      <c r="E2" s="4"/>
      <c r="F2" s="4"/>
      <c r="G2" s="4"/>
      <c r="H2" s="4"/>
      <c r="I2" s="4"/>
      <c r="J2" s="4"/>
      <c r="K2" s="4"/>
    </row>
    <row r="3" spans="1:11" x14ac:dyDescent="0.3">
      <c r="A3" t="s">
        <v>10</v>
      </c>
      <c r="B3" s="2">
        <v>73000</v>
      </c>
      <c r="E3" s="4"/>
      <c r="F3" s="4"/>
      <c r="G3" s="4"/>
      <c r="H3" s="4"/>
      <c r="I3" s="4"/>
      <c r="J3" s="4"/>
      <c r="K3" s="4"/>
    </row>
    <row r="4" spans="1:11" x14ac:dyDescent="0.3">
      <c r="A4" t="s">
        <v>11</v>
      </c>
      <c r="B4" s="2">
        <v>230000</v>
      </c>
      <c r="E4" s="4"/>
      <c r="F4" s="4"/>
      <c r="G4" s="4"/>
      <c r="H4" s="4"/>
      <c r="I4" s="4"/>
      <c r="J4" s="4"/>
      <c r="K4" s="4"/>
    </row>
    <row r="5" spans="1:11" x14ac:dyDescent="0.3">
      <c r="A5" t="s">
        <v>12</v>
      </c>
      <c r="B5" s="2">
        <v>392000</v>
      </c>
      <c r="E5" s="4"/>
      <c r="F5" s="4"/>
      <c r="G5" s="4"/>
      <c r="H5" s="4"/>
      <c r="I5" s="4"/>
      <c r="J5" s="4"/>
      <c r="K5" s="4"/>
    </row>
    <row r="6" spans="1:11" x14ac:dyDescent="0.3">
      <c r="A6" t="s">
        <v>13</v>
      </c>
      <c r="B6" s="2">
        <v>125000</v>
      </c>
      <c r="E6" s="4"/>
      <c r="F6" s="4"/>
      <c r="G6" s="4"/>
      <c r="H6" s="4"/>
      <c r="I6" s="4"/>
      <c r="J6" s="4"/>
      <c r="K6" s="4"/>
    </row>
    <row r="7" spans="1:11" x14ac:dyDescent="0.3">
      <c r="A7" t="s">
        <v>14</v>
      </c>
      <c r="B7" s="2">
        <v>52000</v>
      </c>
      <c r="E7" s="4"/>
      <c r="F7" s="4"/>
      <c r="G7" s="4"/>
      <c r="H7" s="4"/>
      <c r="I7" s="4"/>
      <c r="J7" s="4"/>
      <c r="K7" s="4"/>
    </row>
    <row r="8" spans="1:11" x14ac:dyDescent="0.3">
      <c r="A8" t="s">
        <v>15</v>
      </c>
      <c r="B8" s="2">
        <v>168000</v>
      </c>
      <c r="E8" s="4"/>
      <c r="F8" s="4"/>
      <c r="G8" s="4"/>
      <c r="H8" s="4"/>
      <c r="I8" s="4"/>
      <c r="J8" s="4"/>
      <c r="K8" s="4"/>
    </row>
    <row r="9" spans="1:11" x14ac:dyDescent="0.3">
      <c r="A9" t="s">
        <v>16</v>
      </c>
      <c r="B9" s="2">
        <v>325000</v>
      </c>
      <c r="E9" s="4"/>
      <c r="F9" s="4"/>
      <c r="G9" s="4"/>
      <c r="H9" s="4"/>
      <c r="I9" s="4"/>
      <c r="J9" s="4"/>
      <c r="K9" s="4"/>
    </row>
    <row r="10" spans="1:11" x14ac:dyDescent="0.3">
      <c r="A10" t="s">
        <v>17</v>
      </c>
      <c r="B10" s="2">
        <v>194000</v>
      </c>
      <c r="E10" s="4"/>
      <c r="F10" s="4"/>
      <c r="G10" s="4"/>
      <c r="H10" s="4"/>
      <c r="I10" s="4"/>
      <c r="J10" s="4"/>
      <c r="K10" s="4"/>
    </row>
    <row r="11" spans="1:11" x14ac:dyDescent="0.3">
      <c r="A11" t="s">
        <v>18</v>
      </c>
      <c r="B11" s="2">
        <v>91000</v>
      </c>
      <c r="E11" s="4"/>
      <c r="F11" s="4"/>
      <c r="G11" s="4"/>
      <c r="H11" s="4"/>
      <c r="I11" s="4"/>
      <c r="J11" s="4"/>
      <c r="K11" s="4"/>
    </row>
    <row r="12" spans="1:11" x14ac:dyDescent="0.3">
      <c r="B12" s="2"/>
      <c r="E12" s="4"/>
      <c r="F12" s="4"/>
      <c r="G12" s="4"/>
      <c r="H12" s="4"/>
      <c r="I12" s="4"/>
      <c r="J12" s="4"/>
      <c r="K12" s="4"/>
    </row>
    <row r="13" spans="1:11" x14ac:dyDescent="0.3">
      <c r="B13" s="2"/>
      <c r="E13" s="4"/>
      <c r="F13" s="4"/>
      <c r="G13" s="4"/>
      <c r="H13" s="4"/>
      <c r="I13" s="4"/>
      <c r="J13" s="4"/>
      <c r="K13" s="4"/>
    </row>
    <row r="14" spans="1:11" x14ac:dyDescent="0.3">
      <c r="E14" s="4"/>
      <c r="F14" s="4"/>
      <c r="G14" s="4"/>
      <c r="H14" s="4"/>
      <c r="I14" s="4"/>
      <c r="J14" s="4"/>
      <c r="K14" s="4"/>
    </row>
    <row r="16" spans="1:11" s="5" customFormat="1" x14ac:dyDescent="0.3"/>
    <row r="18" spans="1:8" x14ac:dyDescent="0.3">
      <c r="A18" s="8" t="s">
        <v>0</v>
      </c>
      <c r="B18" s="8" t="s">
        <v>26</v>
      </c>
      <c r="D18" s="8" t="s">
        <v>20</v>
      </c>
      <c r="E18" s="8" t="s">
        <v>21</v>
      </c>
      <c r="G18" s="8" t="s">
        <v>0</v>
      </c>
      <c r="H18" s="8" t="s">
        <v>22</v>
      </c>
    </row>
    <row r="19" spans="1:8" x14ac:dyDescent="0.3">
      <c r="A19" s="7" t="s">
        <v>9</v>
      </c>
      <c r="B19" s="9">
        <v>278000</v>
      </c>
      <c r="D19" s="7">
        <f>LARGE($B$19:$B$28,1)</f>
        <v>392000</v>
      </c>
      <c r="E19" s="7">
        <f>SMALL($B$19:$B$28,1)</f>
        <v>52000</v>
      </c>
      <c r="G19" s="7" t="s">
        <v>9</v>
      </c>
      <c r="H19" s="10">
        <f>(B19-$E$19)/($D$19-$E$19)</f>
        <v>0.66470588235294115</v>
      </c>
    </row>
    <row r="20" spans="1:8" x14ac:dyDescent="0.3">
      <c r="A20" s="7" t="s">
        <v>10</v>
      </c>
      <c r="B20" s="9">
        <v>73000</v>
      </c>
      <c r="G20" s="7" t="s">
        <v>10</v>
      </c>
      <c r="H20" s="10">
        <f>(B20-$E$19)/($D$19-$E$19)</f>
        <v>6.1764705882352944E-2</v>
      </c>
    </row>
    <row r="21" spans="1:8" x14ac:dyDescent="0.3">
      <c r="A21" s="7" t="s">
        <v>11</v>
      </c>
      <c r="B21" s="9">
        <v>230000</v>
      </c>
      <c r="G21" s="7" t="s">
        <v>11</v>
      </c>
      <c r="H21" s="10">
        <f>(B21-$E$19)/($D$19-$E$19)</f>
        <v>0.52352941176470591</v>
      </c>
    </row>
    <row r="22" spans="1:8" x14ac:dyDescent="0.3">
      <c r="A22" s="7" t="s">
        <v>12</v>
      </c>
      <c r="B22" s="9">
        <v>392000</v>
      </c>
      <c r="G22" s="7" t="s">
        <v>12</v>
      </c>
      <c r="H22" s="10">
        <f>(B22-$E$19)/($D$19-$E$19)</f>
        <v>1</v>
      </c>
    </row>
    <row r="23" spans="1:8" x14ac:dyDescent="0.3">
      <c r="A23" s="7" t="s">
        <v>13</v>
      </c>
      <c r="B23" s="9">
        <v>125000</v>
      </c>
      <c r="G23" s="7" t="s">
        <v>13</v>
      </c>
      <c r="H23" s="10">
        <f t="shared" ref="H23:H28" si="0">(B23-$E$19)/($D$19-$E$19)</f>
        <v>0.21470588235294116</v>
      </c>
    </row>
    <row r="24" spans="1:8" x14ac:dyDescent="0.3">
      <c r="A24" s="7" t="s">
        <v>14</v>
      </c>
      <c r="B24" s="9">
        <v>52000</v>
      </c>
      <c r="G24" s="7" t="s">
        <v>14</v>
      </c>
      <c r="H24" s="10">
        <f t="shared" si="0"/>
        <v>0</v>
      </c>
    </row>
    <row r="25" spans="1:8" x14ac:dyDescent="0.3">
      <c r="A25" s="7" t="s">
        <v>15</v>
      </c>
      <c r="B25" s="9">
        <v>168000</v>
      </c>
      <c r="G25" s="7" t="s">
        <v>15</v>
      </c>
      <c r="H25" s="10">
        <f t="shared" si="0"/>
        <v>0.3411764705882353</v>
      </c>
    </row>
    <row r="26" spans="1:8" x14ac:dyDescent="0.3">
      <c r="A26" s="7" t="s">
        <v>16</v>
      </c>
      <c r="B26" s="9">
        <v>325000</v>
      </c>
      <c r="G26" s="7" t="s">
        <v>16</v>
      </c>
      <c r="H26" s="10">
        <f t="shared" si="0"/>
        <v>0.80294117647058827</v>
      </c>
    </row>
    <row r="27" spans="1:8" x14ac:dyDescent="0.3">
      <c r="A27" s="7" t="s">
        <v>17</v>
      </c>
      <c r="B27" s="9">
        <v>194000</v>
      </c>
      <c r="G27" s="7" t="s">
        <v>17</v>
      </c>
      <c r="H27" s="10">
        <f t="shared" si="0"/>
        <v>0.41764705882352943</v>
      </c>
    </row>
    <row r="28" spans="1:8" x14ac:dyDescent="0.3">
      <c r="A28" s="7" t="s">
        <v>18</v>
      </c>
      <c r="B28" s="9">
        <v>91000</v>
      </c>
      <c r="G28" s="7" t="s">
        <v>18</v>
      </c>
      <c r="H28" s="10">
        <f t="shared" si="0"/>
        <v>0.11470588235294117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FE33-6F88-411F-95DD-D192F32235A7}">
  <dimension ref="A1:K25"/>
  <sheetViews>
    <sheetView workbookViewId="0">
      <selection activeCell="H19" sqref="H19"/>
    </sheetView>
  </sheetViews>
  <sheetFormatPr defaultRowHeight="14.4" x14ac:dyDescent="0.3"/>
  <cols>
    <col min="1" max="1" width="8.5546875" bestFit="1" customWidth="1"/>
    <col min="2" max="2" width="26.109375" bestFit="1" customWidth="1"/>
    <col min="7" max="7" width="9.5546875" bestFit="1" customWidth="1"/>
  </cols>
  <sheetData>
    <row r="1" spans="1:11" x14ac:dyDescent="0.3">
      <c r="A1" t="s">
        <v>0</v>
      </c>
      <c r="B1" t="s">
        <v>5</v>
      </c>
      <c r="E1" s="4"/>
      <c r="F1" s="4"/>
      <c r="G1" s="4"/>
      <c r="H1" s="4"/>
      <c r="I1" s="4"/>
      <c r="J1" s="4"/>
      <c r="K1" s="4"/>
    </row>
    <row r="2" spans="1:11" x14ac:dyDescent="0.3">
      <c r="A2" t="s">
        <v>9</v>
      </c>
      <c r="B2" s="13">
        <v>45736</v>
      </c>
      <c r="E2" s="4"/>
      <c r="F2" s="4"/>
      <c r="G2" s="4"/>
      <c r="H2" s="4"/>
      <c r="I2" s="4"/>
      <c r="J2" s="4"/>
      <c r="K2" s="4"/>
    </row>
    <row r="3" spans="1:11" x14ac:dyDescent="0.3">
      <c r="A3" t="s">
        <v>10</v>
      </c>
      <c r="B3" s="13">
        <v>45644</v>
      </c>
      <c r="E3" s="4"/>
      <c r="F3" s="4"/>
      <c r="G3" s="4"/>
      <c r="H3" s="4"/>
      <c r="I3" s="4"/>
      <c r="J3" s="4"/>
      <c r="K3" s="4"/>
    </row>
    <row r="4" spans="1:11" x14ac:dyDescent="0.3">
      <c r="A4" t="s">
        <v>11</v>
      </c>
      <c r="B4" s="13">
        <v>45746</v>
      </c>
      <c r="E4" s="4"/>
      <c r="F4" s="4"/>
      <c r="G4" s="4"/>
      <c r="H4" s="4"/>
      <c r="I4" s="4"/>
      <c r="J4" s="4"/>
      <c r="K4" s="4"/>
    </row>
    <row r="5" spans="1:11" x14ac:dyDescent="0.3">
      <c r="A5" t="s">
        <v>12</v>
      </c>
      <c r="B5" s="13">
        <v>45628</v>
      </c>
      <c r="E5" s="4"/>
      <c r="F5" s="4"/>
      <c r="G5" s="4"/>
      <c r="H5" s="4"/>
      <c r="I5" s="4"/>
      <c r="J5" s="4"/>
      <c r="K5" s="4"/>
    </row>
    <row r="6" spans="1:11" x14ac:dyDescent="0.3">
      <c r="A6" t="s">
        <v>13</v>
      </c>
      <c r="B6" s="13">
        <v>45776</v>
      </c>
      <c r="E6" s="4"/>
      <c r="F6" s="4"/>
      <c r="G6" s="4"/>
      <c r="H6" s="4"/>
      <c r="I6" s="4"/>
      <c r="J6" s="4"/>
      <c r="K6" s="4"/>
    </row>
    <row r="7" spans="1:11" x14ac:dyDescent="0.3">
      <c r="A7" t="s">
        <v>14</v>
      </c>
      <c r="B7" s="13">
        <v>45695</v>
      </c>
      <c r="E7" s="4"/>
      <c r="F7" s="4"/>
      <c r="G7" s="4"/>
      <c r="H7" s="4"/>
      <c r="I7" s="4"/>
      <c r="J7" s="4"/>
      <c r="K7" s="4"/>
    </row>
    <row r="8" spans="1:11" x14ac:dyDescent="0.3">
      <c r="A8" t="s">
        <v>15</v>
      </c>
      <c r="B8" s="13">
        <v>45742</v>
      </c>
      <c r="E8" s="4"/>
      <c r="F8" s="4"/>
      <c r="G8" s="4"/>
      <c r="H8" s="4"/>
      <c r="I8" s="4"/>
      <c r="J8" s="4"/>
      <c r="K8" s="4"/>
    </row>
    <row r="9" spans="1:11" x14ac:dyDescent="0.3">
      <c r="A9" t="s">
        <v>16</v>
      </c>
      <c r="B9" s="13">
        <v>45775</v>
      </c>
      <c r="E9" s="4"/>
      <c r="F9" s="4"/>
      <c r="G9" s="4"/>
      <c r="H9" s="4"/>
      <c r="I9" s="4"/>
      <c r="J9" s="4"/>
      <c r="K9" s="4"/>
    </row>
    <row r="10" spans="1:11" x14ac:dyDescent="0.3">
      <c r="A10" t="s">
        <v>17</v>
      </c>
      <c r="B10" s="3">
        <v>45750</v>
      </c>
      <c r="E10" s="4"/>
      <c r="F10" s="4"/>
      <c r="G10" s="4"/>
      <c r="H10" s="4"/>
      <c r="I10" s="4"/>
      <c r="J10" s="4"/>
      <c r="K10" s="4"/>
    </row>
    <row r="11" spans="1:11" x14ac:dyDescent="0.3">
      <c r="A11" t="s">
        <v>18</v>
      </c>
      <c r="B11" s="3">
        <v>45708</v>
      </c>
      <c r="E11" s="4"/>
      <c r="F11" s="4"/>
      <c r="G11" s="4"/>
      <c r="H11" s="4"/>
      <c r="I11" s="4"/>
      <c r="J11" s="4"/>
      <c r="K11" s="4"/>
    </row>
    <row r="13" spans="1:11" s="5" customFormat="1" x14ac:dyDescent="0.3"/>
    <row r="15" spans="1:11" x14ac:dyDescent="0.3">
      <c r="A15" s="8" t="s">
        <v>0</v>
      </c>
      <c r="B15" s="8" t="s">
        <v>27</v>
      </c>
      <c r="D15" s="8" t="s">
        <v>20</v>
      </c>
      <c r="E15" s="8" t="s">
        <v>21</v>
      </c>
      <c r="G15" s="8" t="s">
        <v>0</v>
      </c>
      <c r="H15" s="8" t="s">
        <v>22</v>
      </c>
    </row>
    <row r="16" spans="1:11" x14ac:dyDescent="0.3">
      <c r="A16" s="7" t="s">
        <v>9</v>
      </c>
      <c r="B16" s="9">
        <f ca="1">TODAY()-B2</f>
        <v>53</v>
      </c>
      <c r="D16" s="7">
        <f ca="1">LARGE($B$16:$B$25,1)</f>
        <v>161</v>
      </c>
      <c r="E16" s="7">
        <f ca="1">SMALL($B$16:$B$25,1)</f>
        <v>13</v>
      </c>
      <c r="G16" s="7" t="s">
        <v>9</v>
      </c>
      <c r="H16" s="10">
        <f ca="1">(B16-$E$16)/($D$16-$E$16)</f>
        <v>0.27027027027027029</v>
      </c>
    </row>
    <row r="17" spans="1:8" x14ac:dyDescent="0.3">
      <c r="A17" s="7" t="s">
        <v>10</v>
      </c>
      <c r="B17" s="9">
        <f ca="1">TODAY()-B3</f>
        <v>145</v>
      </c>
      <c r="G17" s="7" t="s">
        <v>10</v>
      </c>
      <c r="H17" s="10">
        <f ca="1">(B17-$E$16)/($D$16-$E$16)</f>
        <v>0.89189189189189189</v>
      </c>
    </row>
    <row r="18" spans="1:8" x14ac:dyDescent="0.3">
      <c r="A18" s="7" t="s">
        <v>11</v>
      </c>
      <c r="B18" s="9">
        <f ca="1">TODAY()-B4</f>
        <v>43</v>
      </c>
      <c r="G18" s="7" t="s">
        <v>11</v>
      </c>
      <c r="H18" s="10">
        <f ca="1">(B18-$E$16)/($D$16-$E$16)</f>
        <v>0.20270270270270271</v>
      </c>
    </row>
    <row r="19" spans="1:8" x14ac:dyDescent="0.3">
      <c r="A19" s="7" t="s">
        <v>12</v>
      </c>
      <c r="B19" s="9">
        <f t="shared" ref="B19:B25" ca="1" si="0">TODAY()-B5</f>
        <v>161</v>
      </c>
      <c r="G19" s="7" t="s">
        <v>12</v>
      </c>
      <c r="H19" s="10">
        <f ca="1">(B19-$E$16)/($D$16-$E$16)</f>
        <v>1</v>
      </c>
    </row>
    <row r="20" spans="1:8" x14ac:dyDescent="0.3">
      <c r="A20" s="7" t="s">
        <v>13</v>
      </c>
      <c r="B20" s="9">
        <f t="shared" ca="1" si="0"/>
        <v>13</v>
      </c>
      <c r="G20" s="7" t="s">
        <v>13</v>
      </c>
      <c r="H20" s="10">
        <f t="shared" ref="H20:H25" ca="1" si="1">(B20-$E$16)/($D$16-$E$16)</f>
        <v>0</v>
      </c>
    </row>
    <row r="21" spans="1:8" x14ac:dyDescent="0.3">
      <c r="A21" s="7" t="s">
        <v>14</v>
      </c>
      <c r="B21" s="9">
        <f t="shared" ca="1" si="0"/>
        <v>94</v>
      </c>
      <c r="G21" s="7" t="s">
        <v>14</v>
      </c>
      <c r="H21" s="10">
        <f t="shared" ca="1" si="1"/>
        <v>0.54729729729729726</v>
      </c>
    </row>
    <row r="22" spans="1:8" x14ac:dyDescent="0.3">
      <c r="A22" s="7" t="s">
        <v>15</v>
      </c>
      <c r="B22" s="9">
        <f t="shared" ca="1" si="0"/>
        <v>47</v>
      </c>
      <c r="G22" s="7" t="s">
        <v>15</v>
      </c>
      <c r="H22" s="10">
        <f t="shared" ca="1" si="1"/>
        <v>0.22972972972972974</v>
      </c>
    </row>
    <row r="23" spans="1:8" x14ac:dyDescent="0.3">
      <c r="A23" s="7" t="s">
        <v>16</v>
      </c>
      <c r="B23" s="9">
        <f t="shared" ca="1" si="0"/>
        <v>14</v>
      </c>
      <c r="G23" s="7" t="s">
        <v>16</v>
      </c>
      <c r="H23" s="10">
        <f t="shared" ca="1" si="1"/>
        <v>6.7567567567567571E-3</v>
      </c>
    </row>
    <row r="24" spans="1:8" x14ac:dyDescent="0.3">
      <c r="A24" s="7" t="s">
        <v>17</v>
      </c>
      <c r="B24" s="9">
        <f t="shared" ca="1" si="0"/>
        <v>39</v>
      </c>
      <c r="G24" s="7" t="s">
        <v>17</v>
      </c>
      <c r="H24" s="10">
        <f t="shared" ca="1" si="1"/>
        <v>0.17567567567567569</v>
      </c>
    </row>
    <row r="25" spans="1:8" x14ac:dyDescent="0.3">
      <c r="A25" s="7" t="s">
        <v>18</v>
      </c>
      <c r="B25" s="9">
        <f t="shared" ca="1" si="0"/>
        <v>81</v>
      </c>
      <c r="G25" s="7" t="s">
        <v>18</v>
      </c>
      <c r="H25" s="10">
        <f t="shared" ca="1" si="1"/>
        <v>0.45945945945945948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A9C6-C13F-4220-9479-16CD88B8D2EF}">
  <dimension ref="A1:K25"/>
  <sheetViews>
    <sheetView workbookViewId="0">
      <selection activeCell="N28" sqref="N28"/>
    </sheetView>
  </sheetViews>
  <sheetFormatPr defaultRowHeight="14.4" x14ac:dyDescent="0.3"/>
  <cols>
    <col min="1" max="1" width="8.5546875" bestFit="1" customWidth="1"/>
    <col min="2" max="2" width="26.109375" bestFit="1" customWidth="1"/>
  </cols>
  <sheetData>
    <row r="1" spans="1:11" x14ac:dyDescent="0.3">
      <c r="A1" t="s">
        <v>0</v>
      </c>
      <c r="B1" t="s">
        <v>6</v>
      </c>
      <c r="E1" s="4"/>
      <c r="F1" s="4"/>
      <c r="G1" s="4"/>
      <c r="H1" s="4"/>
      <c r="I1" s="4"/>
      <c r="J1" s="4"/>
      <c r="K1" s="4"/>
    </row>
    <row r="2" spans="1:11" x14ac:dyDescent="0.3">
      <c r="A2" t="s">
        <v>9</v>
      </c>
      <c r="B2" s="6">
        <v>17262</v>
      </c>
      <c r="E2" s="4"/>
      <c r="F2" s="4"/>
      <c r="G2" s="4"/>
      <c r="H2" s="4"/>
      <c r="I2" s="4"/>
      <c r="J2" s="4"/>
      <c r="K2" s="4"/>
    </row>
    <row r="3" spans="1:11" x14ac:dyDescent="0.3">
      <c r="A3" t="s">
        <v>10</v>
      </c>
      <c r="B3" s="6">
        <v>9268</v>
      </c>
      <c r="E3" s="4"/>
      <c r="F3" s="4"/>
      <c r="G3" s="4"/>
      <c r="H3" s="4"/>
      <c r="I3" s="4"/>
      <c r="J3" s="4"/>
      <c r="K3" s="4"/>
    </row>
    <row r="4" spans="1:11" x14ac:dyDescent="0.3">
      <c r="A4" t="s">
        <v>11</v>
      </c>
      <c r="B4" s="6">
        <v>21271</v>
      </c>
      <c r="E4" s="4"/>
      <c r="F4" s="4"/>
      <c r="G4" s="4"/>
      <c r="H4" s="4"/>
      <c r="I4" s="4"/>
      <c r="J4" s="4"/>
      <c r="K4" s="4"/>
    </row>
    <row r="5" spans="1:11" x14ac:dyDescent="0.3">
      <c r="A5" t="s">
        <v>12</v>
      </c>
      <c r="B5" s="6">
        <v>12185</v>
      </c>
      <c r="E5" s="4"/>
      <c r="F5" s="4"/>
      <c r="G5" s="4"/>
      <c r="H5" s="4"/>
      <c r="I5" s="4"/>
      <c r="J5" s="4"/>
      <c r="K5" s="4"/>
    </row>
    <row r="6" spans="1:11" x14ac:dyDescent="0.3">
      <c r="A6" t="s">
        <v>13</v>
      </c>
      <c r="B6" s="6">
        <v>21243</v>
      </c>
      <c r="E6" s="4"/>
      <c r="F6" s="4"/>
      <c r="G6" s="4"/>
      <c r="H6" s="4"/>
      <c r="I6" s="4"/>
      <c r="J6" s="4"/>
      <c r="K6" s="4"/>
    </row>
    <row r="7" spans="1:11" x14ac:dyDescent="0.3">
      <c r="A7" t="s">
        <v>14</v>
      </c>
      <c r="B7" s="6">
        <v>39099</v>
      </c>
      <c r="E7" s="4"/>
      <c r="F7" s="4"/>
      <c r="G7" s="4"/>
      <c r="H7" s="4"/>
      <c r="I7" s="4"/>
      <c r="J7" s="4"/>
      <c r="K7" s="4"/>
    </row>
    <row r="8" spans="1:11" x14ac:dyDescent="0.3">
      <c r="A8" t="s">
        <v>15</v>
      </c>
      <c r="B8" s="6">
        <v>8571</v>
      </c>
      <c r="E8" s="4"/>
      <c r="F8" s="4"/>
      <c r="G8" s="4"/>
      <c r="H8" s="4"/>
      <c r="I8" s="4"/>
      <c r="J8" s="4"/>
      <c r="K8" s="4"/>
    </row>
    <row r="9" spans="1:11" x14ac:dyDescent="0.3">
      <c r="A9" t="s">
        <v>16</v>
      </c>
      <c r="B9" s="6">
        <v>39976</v>
      </c>
      <c r="E9" s="4"/>
      <c r="F9" s="4"/>
      <c r="G9" s="4"/>
      <c r="H9" s="4"/>
      <c r="I9" s="4"/>
      <c r="J9" s="4"/>
      <c r="K9" s="4"/>
    </row>
    <row r="10" spans="1:11" x14ac:dyDescent="0.3">
      <c r="A10" t="s">
        <v>17</v>
      </c>
      <c r="B10" s="6">
        <v>38044</v>
      </c>
      <c r="E10" s="4"/>
      <c r="F10" s="4"/>
      <c r="G10" s="4"/>
      <c r="H10" s="4"/>
      <c r="I10" s="4"/>
      <c r="J10" s="4"/>
      <c r="K10" s="4"/>
    </row>
    <row r="11" spans="1:11" x14ac:dyDescent="0.3">
      <c r="A11" t="s">
        <v>18</v>
      </c>
      <c r="B11" s="6">
        <v>49216</v>
      </c>
      <c r="E11" s="4"/>
      <c r="F11" s="4"/>
      <c r="G11" s="4"/>
      <c r="H11" s="4"/>
      <c r="I11" s="4"/>
      <c r="J11" s="4"/>
      <c r="K11" s="4"/>
    </row>
    <row r="13" spans="1:11" s="5" customFormat="1" x14ac:dyDescent="0.3"/>
    <row r="15" spans="1:11" x14ac:dyDescent="0.3">
      <c r="A15" s="8" t="s">
        <v>0</v>
      </c>
      <c r="B15" s="8" t="s">
        <v>26</v>
      </c>
      <c r="D15" s="8" t="s">
        <v>20</v>
      </c>
      <c r="E15" s="8" t="s">
        <v>21</v>
      </c>
      <c r="G15" s="8" t="s">
        <v>0</v>
      </c>
      <c r="H15" s="8" t="s">
        <v>22</v>
      </c>
    </row>
    <row r="16" spans="1:11" x14ac:dyDescent="0.3">
      <c r="A16" s="7" t="s">
        <v>9</v>
      </c>
      <c r="B16" s="9">
        <v>17262</v>
      </c>
      <c r="D16" s="7">
        <f>LARGE($B$16:$B$25,1)</f>
        <v>49216</v>
      </c>
      <c r="E16" s="7">
        <f>SMALL($B$16:$B$25,1)</f>
        <v>8571</v>
      </c>
      <c r="G16" s="7" t="s">
        <v>9</v>
      </c>
      <c r="H16" s="10">
        <f>(B16-$E$16)/($D$16-$E$16)</f>
        <v>0.21382703899618649</v>
      </c>
    </row>
    <row r="17" spans="1:8" x14ac:dyDescent="0.3">
      <c r="A17" s="7" t="s">
        <v>10</v>
      </c>
      <c r="B17" s="9">
        <v>9268</v>
      </c>
      <c r="G17" s="7" t="s">
        <v>10</v>
      </c>
      <c r="H17" s="10">
        <f>(B17-$E$16)/($D$16-$E$16)</f>
        <v>1.7148480747939475E-2</v>
      </c>
    </row>
    <row r="18" spans="1:8" x14ac:dyDescent="0.3">
      <c r="A18" s="7" t="s">
        <v>11</v>
      </c>
      <c r="B18" s="9">
        <v>21271</v>
      </c>
      <c r="G18" s="7" t="s">
        <v>11</v>
      </c>
      <c r="H18" s="10">
        <f>(B18-$E$16)/($D$16-$E$16)</f>
        <v>0.31246155738713249</v>
      </c>
    </row>
    <row r="19" spans="1:8" x14ac:dyDescent="0.3">
      <c r="A19" s="7" t="s">
        <v>12</v>
      </c>
      <c r="B19" s="9">
        <v>12185</v>
      </c>
      <c r="G19" s="7" t="s">
        <v>12</v>
      </c>
      <c r="H19" s="10">
        <f>(B19-$E$16)/($D$16-$E$16)</f>
        <v>8.8916225858039113E-2</v>
      </c>
    </row>
    <row r="20" spans="1:8" x14ac:dyDescent="0.3">
      <c r="A20" s="7" t="s">
        <v>13</v>
      </c>
      <c r="B20" s="9">
        <v>21243</v>
      </c>
      <c r="G20" s="7" t="s">
        <v>13</v>
      </c>
      <c r="H20" s="10">
        <f t="shared" ref="H20:H25" si="0">(B20-$E$16)/($D$16-$E$16)</f>
        <v>0.31177266576454671</v>
      </c>
    </row>
    <row r="21" spans="1:8" x14ac:dyDescent="0.3">
      <c r="A21" s="7" t="s">
        <v>14</v>
      </c>
      <c r="B21" s="9">
        <v>39099</v>
      </c>
      <c r="G21" s="7" t="s">
        <v>14</v>
      </c>
      <c r="H21" s="10">
        <f t="shared" si="0"/>
        <v>0.75108869479640794</v>
      </c>
    </row>
    <row r="22" spans="1:8" x14ac:dyDescent="0.3">
      <c r="A22" s="7" t="s">
        <v>15</v>
      </c>
      <c r="B22" s="9">
        <v>8571</v>
      </c>
      <c r="G22" s="7" t="s">
        <v>15</v>
      </c>
      <c r="H22" s="10">
        <f t="shared" si="0"/>
        <v>0</v>
      </c>
    </row>
    <row r="23" spans="1:8" x14ac:dyDescent="0.3">
      <c r="A23" s="7" t="s">
        <v>16</v>
      </c>
      <c r="B23" s="9">
        <v>39976</v>
      </c>
      <c r="G23" s="7" t="s">
        <v>16</v>
      </c>
      <c r="H23" s="10">
        <f t="shared" si="0"/>
        <v>0.77266576454668467</v>
      </c>
    </row>
    <row r="24" spans="1:8" x14ac:dyDescent="0.3">
      <c r="A24" s="7" t="s">
        <v>17</v>
      </c>
      <c r="B24" s="9">
        <v>38044</v>
      </c>
      <c r="G24" s="7" t="s">
        <v>17</v>
      </c>
      <c r="H24" s="10">
        <f t="shared" si="0"/>
        <v>0.72513224258826425</v>
      </c>
    </row>
    <row r="25" spans="1:8" x14ac:dyDescent="0.3">
      <c r="A25" s="7" t="s">
        <v>18</v>
      </c>
      <c r="B25" s="9">
        <v>49216</v>
      </c>
      <c r="G25" s="7" t="s">
        <v>18</v>
      </c>
      <c r="H25" s="10">
        <f t="shared" si="0"/>
        <v>1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D76B-BF88-48FD-9FDC-451D03E58E05}">
  <dimension ref="A1:N25"/>
  <sheetViews>
    <sheetView workbookViewId="0">
      <selection activeCell="I16" sqref="I16:I25"/>
    </sheetView>
  </sheetViews>
  <sheetFormatPr defaultRowHeight="14.4" x14ac:dyDescent="0.3"/>
  <cols>
    <col min="1" max="1" width="8.5546875" bestFit="1" customWidth="1"/>
    <col min="2" max="2" width="26.109375" bestFit="1" customWidth="1"/>
    <col min="3" max="3" width="17.88671875" bestFit="1" customWidth="1"/>
    <col min="5" max="5" width="13.77734375" bestFit="1" customWidth="1"/>
    <col min="6" max="6" width="13.44140625" bestFit="1" customWidth="1"/>
  </cols>
  <sheetData>
    <row r="1" spans="1:14" x14ac:dyDescent="0.3">
      <c r="A1" t="s">
        <v>0</v>
      </c>
      <c r="B1" t="s">
        <v>7</v>
      </c>
      <c r="C1" t="s">
        <v>29</v>
      </c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9</v>
      </c>
      <c r="B2" s="13">
        <v>45800</v>
      </c>
      <c r="C2">
        <v>91000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t="s">
        <v>10</v>
      </c>
      <c r="B3" s="13">
        <v>45868</v>
      </c>
      <c r="C3">
        <v>7000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">
      <c r="A4" t="s">
        <v>11</v>
      </c>
      <c r="B4" s="13">
        <v>45796</v>
      </c>
      <c r="C4">
        <v>48000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">
      <c r="A5" t="s">
        <v>12</v>
      </c>
      <c r="B5" s="13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t="s">
        <v>13</v>
      </c>
      <c r="B6" s="13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t="s">
        <v>14</v>
      </c>
      <c r="B7" s="13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">
      <c r="A8" t="s">
        <v>15</v>
      </c>
      <c r="B8" s="13">
        <v>45800</v>
      </c>
      <c r="C8">
        <v>52000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">
      <c r="A9" t="s">
        <v>16</v>
      </c>
      <c r="B9" s="13">
        <v>45793</v>
      </c>
      <c r="C9">
        <v>10000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">
      <c r="A10" t="s">
        <v>17</v>
      </c>
      <c r="B10" s="13">
        <v>45814</v>
      </c>
      <c r="C10">
        <v>69000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">
      <c r="A11" t="s">
        <v>18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3" spans="1:14" s="5" customFormat="1" x14ac:dyDescent="0.3"/>
    <row r="15" spans="1:14" x14ac:dyDescent="0.3">
      <c r="A15" s="8" t="s">
        <v>0</v>
      </c>
      <c r="B15" s="8" t="s">
        <v>28</v>
      </c>
      <c r="C15" s="8" t="s">
        <v>30</v>
      </c>
      <c r="E15" s="8" t="s">
        <v>20</v>
      </c>
      <c r="F15" s="8" t="s">
        <v>21</v>
      </c>
      <c r="H15" s="8" t="s">
        <v>0</v>
      </c>
      <c r="I15" s="8" t="s">
        <v>22</v>
      </c>
    </row>
    <row r="16" spans="1:14" x14ac:dyDescent="0.3">
      <c r="A16" s="7" t="s">
        <v>9</v>
      </c>
      <c r="B16" s="9">
        <f t="shared" ref="B16:B25" ca="1" si="0">IF(B2="","",B2-TODAY())</f>
        <v>11</v>
      </c>
      <c r="C16" s="9">
        <f>IF(C2="","",C2)</f>
        <v>91000</v>
      </c>
      <c r="E16" s="7">
        <f ca="1">LARGE($B$16:$B$25,1)</f>
        <v>79</v>
      </c>
      <c r="F16" s="7">
        <f ca="1">SMALL($B$16:$B$25,1)</f>
        <v>4</v>
      </c>
      <c r="H16" s="7" t="s">
        <v>9</v>
      </c>
      <c r="I16" s="10">
        <f ca="1">IFERROR(($E$16-B16)/($E$16-$F$16)*(C16-$F$19)/($E$19-$F$19),0)</f>
        <v>0.90666666666666662</v>
      </c>
    </row>
    <row r="17" spans="1:9" x14ac:dyDescent="0.3">
      <c r="A17" s="7" t="s">
        <v>10</v>
      </c>
      <c r="B17" s="9">
        <f t="shared" ca="1" si="0"/>
        <v>79</v>
      </c>
      <c r="C17" s="9">
        <f t="shared" ref="C17:C25" si="1">IF(C3="","",C3)</f>
        <v>7000</v>
      </c>
      <c r="H17" s="7" t="s">
        <v>10</v>
      </c>
      <c r="I17" s="10">
        <f t="shared" ref="I17:I20" ca="1" si="2">IFERROR(($E$16-B17)/($E$16-$F$16)*(C17-$F$19)/($E$19-$F$19),0)</f>
        <v>0</v>
      </c>
    </row>
    <row r="18" spans="1:9" x14ac:dyDescent="0.3">
      <c r="A18" s="7" t="s">
        <v>11</v>
      </c>
      <c r="B18" s="9">
        <f t="shared" ca="1" si="0"/>
        <v>7</v>
      </c>
      <c r="C18" s="9">
        <f t="shared" si="1"/>
        <v>48000</v>
      </c>
      <c r="E18" s="8" t="s">
        <v>31</v>
      </c>
      <c r="F18" s="8" t="s">
        <v>32</v>
      </c>
      <c r="H18" s="7" t="s">
        <v>11</v>
      </c>
      <c r="I18" s="10">
        <f t="shared" ca="1" si="2"/>
        <v>0.46857142857142858</v>
      </c>
    </row>
    <row r="19" spans="1:9" x14ac:dyDescent="0.3">
      <c r="A19" s="7" t="s">
        <v>12</v>
      </c>
      <c r="B19" s="9" t="str">
        <f t="shared" ca="1" si="0"/>
        <v/>
      </c>
      <c r="C19" s="9" t="str">
        <f t="shared" si="1"/>
        <v/>
      </c>
      <c r="E19" s="7">
        <f>LARGE($C$16:$C$25,1)</f>
        <v>91000</v>
      </c>
      <c r="F19" s="7">
        <f>SMALL($C$16:$C$25,1)</f>
        <v>7000</v>
      </c>
      <c r="H19" s="7" t="s">
        <v>12</v>
      </c>
      <c r="I19" s="10">
        <f t="shared" ca="1" si="2"/>
        <v>0</v>
      </c>
    </row>
    <row r="20" spans="1:9" x14ac:dyDescent="0.3">
      <c r="A20" s="7" t="s">
        <v>13</v>
      </c>
      <c r="B20" s="9" t="str">
        <f t="shared" ca="1" si="0"/>
        <v/>
      </c>
      <c r="C20" s="9" t="str">
        <f t="shared" si="1"/>
        <v/>
      </c>
      <c r="H20" s="7" t="s">
        <v>13</v>
      </c>
      <c r="I20" s="10">
        <f t="shared" ca="1" si="2"/>
        <v>0</v>
      </c>
    </row>
    <row r="21" spans="1:9" x14ac:dyDescent="0.3">
      <c r="A21" s="7" t="s">
        <v>14</v>
      </c>
      <c r="B21" s="9" t="str">
        <f t="shared" ca="1" si="0"/>
        <v/>
      </c>
      <c r="C21" s="9" t="str">
        <f t="shared" si="1"/>
        <v/>
      </c>
      <c r="H21" s="7" t="s">
        <v>14</v>
      </c>
      <c r="I21" s="10">
        <f t="shared" ref="I21:I25" ca="1" si="3">IFERROR(($E$16-B21)/($E$16-$F$16)*(C21-$F$19)/($E$19-$F$19),0)</f>
        <v>0</v>
      </c>
    </row>
    <row r="22" spans="1:9" x14ac:dyDescent="0.3">
      <c r="A22" s="7" t="s">
        <v>15</v>
      </c>
      <c r="B22" s="9">
        <f t="shared" ca="1" si="0"/>
        <v>11</v>
      </c>
      <c r="C22" s="9">
        <f t="shared" si="1"/>
        <v>52000</v>
      </c>
      <c r="H22" s="7" t="s">
        <v>15</v>
      </c>
      <c r="I22" s="10">
        <f t="shared" ca="1" si="3"/>
        <v>0.48571428571428571</v>
      </c>
    </row>
    <row r="23" spans="1:9" x14ac:dyDescent="0.3">
      <c r="A23" s="7" t="s">
        <v>16</v>
      </c>
      <c r="B23" s="9">
        <f t="shared" ca="1" si="0"/>
        <v>4</v>
      </c>
      <c r="C23" s="9">
        <f t="shared" si="1"/>
        <v>10000</v>
      </c>
      <c r="H23" s="7" t="s">
        <v>16</v>
      </c>
      <c r="I23" s="10">
        <f t="shared" ca="1" si="3"/>
        <v>3.5714285714285712E-2</v>
      </c>
    </row>
    <row r="24" spans="1:9" x14ac:dyDescent="0.3">
      <c r="A24" s="7" t="s">
        <v>17</v>
      </c>
      <c r="B24" s="9">
        <f t="shared" ca="1" si="0"/>
        <v>25</v>
      </c>
      <c r="C24" s="9">
        <f t="shared" si="1"/>
        <v>69000</v>
      </c>
      <c r="H24" s="7" t="s">
        <v>17</v>
      </c>
      <c r="I24" s="10">
        <f t="shared" ca="1" si="3"/>
        <v>0.53142857142857147</v>
      </c>
    </row>
    <row r="25" spans="1:9" x14ac:dyDescent="0.3">
      <c r="A25" s="7" t="s">
        <v>18</v>
      </c>
      <c r="B25" s="9" t="str">
        <f t="shared" ca="1" si="0"/>
        <v/>
      </c>
      <c r="C25" s="9" t="str">
        <f t="shared" si="1"/>
        <v/>
      </c>
      <c r="H25" s="7" t="s">
        <v>18</v>
      </c>
      <c r="I25" s="10">
        <f t="shared" ca="1" si="3"/>
        <v>0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658F-18B9-4167-8A58-6CC583A0EF1C}">
  <dimension ref="A1:I14"/>
  <sheetViews>
    <sheetView workbookViewId="0">
      <selection activeCell="A9" sqref="A9:I12"/>
    </sheetView>
  </sheetViews>
  <sheetFormatPr defaultRowHeight="14.4" x14ac:dyDescent="0.3"/>
  <cols>
    <col min="2" max="2" width="21.6640625" bestFit="1" customWidth="1"/>
    <col min="3" max="3" width="20.44140625" bestFit="1" customWidth="1"/>
    <col min="4" max="4" width="22.21875" bestFit="1" customWidth="1"/>
    <col min="5" max="5" width="21.77734375" bestFit="1" customWidth="1"/>
    <col min="6" max="6" width="14.44140625" bestFit="1" customWidth="1"/>
    <col min="7" max="7" width="14.109375" bestFit="1" customWidth="1"/>
    <col min="8" max="8" width="14" bestFit="1" customWidth="1"/>
    <col min="9" max="9" width="10.21875" bestFit="1" customWidth="1"/>
  </cols>
  <sheetData>
    <row r="1" spans="1:9" x14ac:dyDescent="0.3">
      <c r="A1" s="16" t="s">
        <v>33</v>
      </c>
      <c r="B1" s="11" t="s">
        <v>35</v>
      </c>
      <c r="C1" s="11" t="s">
        <v>36</v>
      </c>
      <c r="D1" s="11" t="s">
        <v>37</v>
      </c>
      <c r="E1" s="11" t="s">
        <v>38</v>
      </c>
      <c r="F1" s="14" t="s">
        <v>39</v>
      </c>
      <c r="G1" s="14" t="s">
        <v>40</v>
      </c>
      <c r="H1" s="14" t="s">
        <v>4</v>
      </c>
    </row>
    <row r="2" spans="1:9" x14ac:dyDescent="0.3">
      <c r="A2" s="16" t="s">
        <v>34</v>
      </c>
      <c r="B2" s="15">
        <v>0.1</v>
      </c>
      <c r="C2" s="15">
        <v>0.1</v>
      </c>
      <c r="D2" s="15">
        <v>0.1</v>
      </c>
      <c r="E2" s="15">
        <v>0.2</v>
      </c>
      <c r="F2" s="15">
        <v>0.1</v>
      </c>
      <c r="G2" s="15">
        <v>0.2</v>
      </c>
      <c r="H2" s="15">
        <v>0.2</v>
      </c>
    </row>
    <row r="4" spans="1:9" x14ac:dyDescent="0.3">
      <c r="A4" s="1" t="s">
        <v>0</v>
      </c>
      <c r="B4" s="17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</v>
      </c>
      <c r="I4" s="28" t="s">
        <v>41</v>
      </c>
    </row>
    <row r="5" spans="1:9" x14ac:dyDescent="0.3">
      <c r="A5" s="7" t="s">
        <v>9</v>
      </c>
      <c r="B5" s="19">
        <f ca="1">'Calc - Último Relacionamento'!H16</f>
        <v>0.25</v>
      </c>
      <c r="C5" s="24">
        <f ca="1">'Calc - Aniversário de Cliente'!F16</f>
        <v>0.56666666666666665</v>
      </c>
      <c r="D5" s="24">
        <f ca="1">'Calc - Data da Prox Agenda'!H16</f>
        <v>0.9327731092436975</v>
      </c>
      <c r="E5" s="24">
        <f ca="1">'Calc - Última sugestão'!H16</f>
        <v>0.27027027027027029</v>
      </c>
      <c r="F5" s="24">
        <f>'Calc - Saldo em Conta'!H16</f>
        <v>0.21382703899618649</v>
      </c>
      <c r="G5" s="24">
        <f ca="1">'Calc - Venc. RF'!I16</f>
        <v>0.90666666666666662</v>
      </c>
      <c r="H5" s="25">
        <f>'Calc - Oportunidade'!H19</f>
        <v>0.66470588235294115</v>
      </c>
      <c r="I5" s="29">
        <f ca="1">B5*B$2+C5*C$2+D5*D$2+E5*E$2+F5*F$2+G5*G$2+H5*H$2</f>
        <v>0.56465524534863065</v>
      </c>
    </row>
    <row r="6" spans="1:9" x14ac:dyDescent="0.3">
      <c r="A6" s="7" t="s">
        <v>10</v>
      </c>
      <c r="B6" s="20">
        <f ca="1">'Calc - Último Relacionamento'!H17</f>
        <v>1</v>
      </c>
      <c r="C6" s="22">
        <f ca="1">'Calc - Aniversário de Cliente'!F17</f>
        <v>0</v>
      </c>
      <c r="D6" s="22">
        <f ca="1">'Calc - Data da Prox Agenda'!H17</f>
        <v>0</v>
      </c>
      <c r="E6" s="22">
        <f ca="1">'Calc - Última sugestão'!H17</f>
        <v>0.89189189189189189</v>
      </c>
      <c r="F6" s="22">
        <f>'Calc - Saldo em Conta'!H17</f>
        <v>1.7148480747939475E-2</v>
      </c>
      <c r="G6" s="22">
        <f ca="1">'Calc - Venc. RF'!I17</f>
        <v>0</v>
      </c>
      <c r="H6" s="26">
        <f>'Calc - Oportunidade'!H20</f>
        <v>6.1764705882352944E-2</v>
      </c>
      <c r="I6" s="29">
        <f t="shared" ref="I6:I14" ca="1" si="0">B6*B$2+C6*C$2+D6*D$2+E6*E$2+F6*F$2+G6*G$2+H6*H$2</f>
        <v>0.29244616762964293</v>
      </c>
    </row>
    <row r="7" spans="1:9" x14ac:dyDescent="0.3">
      <c r="A7" s="7" t="s">
        <v>11</v>
      </c>
      <c r="B7" s="20">
        <f ca="1">'Calc - Último Relacionamento'!H18</f>
        <v>0.76219512195121952</v>
      </c>
      <c r="C7" s="22">
        <f ca="1">'Calc - Aniversário de Cliente'!F18</f>
        <v>9.9999999999999978E-2</v>
      </c>
      <c r="D7" s="22">
        <f ca="1">'Calc - Data da Prox Agenda'!H18</f>
        <v>0.50420168067226889</v>
      </c>
      <c r="E7" s="22">
        <f ca="1">'Calc - Última sugestão'!H18</f>
        <v>0.20270270270270271</v>
      </c>
      <c r="F7" s="22">
        <f>'Calc - Saldo em Conta'!H18</f>
        <v>0.31246155738713249</v>
      </c>
      <c r="G7" s="22">
        <f ca="1">'Calc - Venc. RF'!I18</f>
        <v>0.46857142857142858</v>
      </c>
      <c r="H7" s="26">
        <f>'Calc - Oportunidade'!H21</f>
        <v>0.52352941176470591</v>
      </c>
      <c r="I7" s="29">
        <f t="shared" ca="1" si="0"/>
        <v>0.40684654460882957</v>
      </c>
    </row>
    <row r="8" spans="1:9" x14ac:dyDescent="0.3">
      <c r="A8" s="7" t="s">
        <v>12</v>
      </c>
      <c r="B8" s="20">
        <f ca="1">'Calc - Último Relacionamento'!H19</f>
        <v>0.26219512195121952</v>
      </c>
      <c r="C8" s="22">
        <f ca="1">'Calc - Aniversário de Cliente'!F19</f>
        <v>0</v>
      </c>
      <c r="D8" s="22">
        <f ca="1">'Calc - Data da Prox Agenda'!H19</f>
        <v>0</v>
      </c>
      <c r="E8" s="22">
        <f ca="1">'Calc - Última sugestão'!H19</f>
        <v>1</v>
      </c>
      <c r="F8" s="22">
        <f>'Calc - Saldo em Conta'!H19</f>
        <v>8.8916225858039113E-2</v>
      </c>
      <c r="G8" s="22">
        <f ca="1">'Calc - Venc. RF'!I19</f>
        <v>0</v>
      </c>
      <c r="H8" s="26">
        <f>'Calc - Oportunidade'!H22</f>
        <v>1</v>
      </c>
      <c r="I8" s="29">
        <f t="shared" ca="1" si="0"/>
        <v>0.43511113478092589</v>
      </c>
    </row>
    <row r="9" spans="1:9" x14ac:dyDescent="0.3">
      <c r="A9" s="7" t="s">
        <v>13</v>
      </c>
      <c r="B9" s="20">
        <f ca="1">'Calc - Último Relacionamento'!H20</f>
        <v>0.15548780487804878</v>
      </c>
      <c r="C9" s="22">
        <f ca="1">'Calc - Aniversário de Cliente'!F20</f>
        <v>0</v>
      </c>
      <c r="D9" s="22">
        <f ca="1">'Calc - Data da Prox Agenda'!H20</f>
        <v>0.56302521008403361</v>
      </c>
      <c r="E9" s="22">
        <f ca="1">'Calc - Última sugestão'!H20</f>
        <v>0</v>
      </c>
      <c r="F9" s="22">
        <f>'Calc - Saldo em Conta'!H20</f>
        <v>0.31177266576454671</v>
      </c>
      <c r="G9" s="22">
        <f ca="1">'Calc - Venc. RF'!I20</f>
        <v>0</v>
      </c>
      <c r="H9" s="26">
        <f>'Calc - Oportunidade'!H23</f>
        <v>0.21470588235294116</v>
      </c>
      <c r="I9" s="29">
        <f t="shared" ca="1" si="0"/>
        <v>0.14596974454325115</v>
      </c>
    </row>
    <row r="10" spans="1:9" x14ac:dyDescent="0.3">
      <c r="A10" s="7" t="s">
        <v>14</v>
      </c>
      <c r="B10" s="20">
        <f ca="1">'Calc - Último Relacionamento'!H21</f>
        <v>0.51219512195121952</v>
      </c>
      <c r="C10" s="22">
        <f ca="1">'Calc - Aniversário de Cliente'!F21</f>
        <v>0</v>
      </c>
      <c r="D10" s="22">
        <f ca="1">'Calc - Data da Prox Agenda'!H21</f>
        <v>0</v>
      </c>
      <c r="E10" s="22">
        <f ca="1">'Calc - Última sugestão'!H21</f>
        <v>0.54729729729729726</v>
      </c>
      <c r="F10" s="22">
        <f>'Calc - Saldo em Conta'!H21</f>
        <v>0.75108869479640794</v>
      </c>
      <c r="G10" s="22">
        <f ca="1">'Calc - Venc. RF'!I21</f>
        <v>0</v>
      </c>
      <c r="H10" s="26">
        <f>'Calc - Oportunidade'!H24</f>
        <v>0</v>
      </c>
      <c r="I10" s="29">
        <f t="shared" ca="1" si="0"/>
        <v>0.23578784113422219</v>
      </c>
    </row>
    <row r="11" spans="1:9" x14ac:dyDescent="0.3">
      <c r="A11" s="7" t="s">
        <v>15</v>
      </c>
      <c r="B11" s="20">
        <f ca="1">'Calc - Último Relacionamento'!H22</f>
        <v>0</v>
      </c>
      <c r="C11" s="22">
        <f ca="1">'Calc - Aniversário de Cliente'!F22</f>
        <v>0</v>
      </c>
      <c r="D11" s="22">
        <f ca="1">'Calc - Data da Prox Agenda'!H22</f>
        <v>0</v>
      </c>
      <c r="E11" s="22">
        <f ca="1">'Calc - Última sugestão'!H22</f>
        <v>0.22972972972972974</v>
      </c>
      <c r="F11" s="22">
        <f>'Calc - Saldo em Conta'!H22</f>
        <v>0</v>
      </c>
      <c r="G11" s="22">
        <f ca="1">'Calc - Venc. RF'!I22</f>
        <v>0.48571428571428571</v>
      </c>
      <c r="H11" s="26">
        <f>'Calc - Oportunidade'!H25</f>
        <v>0.3411764705882353</v>
      </c>
      <c r="I11" s="29">
        <f t="shared" ca="1" si="0"/>
        <v>0.21132409720645015</v>
      </c>
    </row>
    <row r="12" spans="1:9" x14ac:dyDescent="0.3">
      <c r="A12" s="7" t="s">
        <v>16</v>
      </c>
      <c r="B12" s="20">
        <f ca="1">'Calc - Último Relacionamento'!H23</f>
        <v>0.25</v>
      </c>
      <c r="C12" s="22">
        <f ca="1">'Calc - Aniversário de Cliente'!F23</f>
        <v>0</v>
      </c>
      <c r="D12" s="22">
        <f ca="1">'Calc - Data da Prox Agenda'!H23</f>
        <v>0.6386554621848739</v>
      </c>
      <c r="E12" s="22">
        <f ca="1">'Calc - Última sugestão'!H23</f>
        <v>6.7567567567567571E-3</v>
      </c>
      <c r="F12" s="22">
        <f>'Calc - Saldo em Conta'!H23</f>
        <v>0.77266576454668467</v>
      </c>
      <c r="G12" s="22">
        <f ca="1">'Calc - Venc. RF'!I23</f>
        <v>3.5714285714285712E-2</v>
      </c>
      <c r="H12" s="26">
        <f>'Calc - Oportunidade'!H26</f>
        <v>0.80294117647058827</v>
      </c>
      <c r="I12" s="29">
        <f t="shared" ca="1" si="0"/>
        <v>0.33521456646148201</v>
      </c>
    </row>
    <row r="13" spans="1:9" x14ac:dyDescent="0.3">
      <c r="A13" s="7" t="s">
        <v>17</v>
      </c>
      <c r="B13" s="20">
        <f ca="1">'Calc - Último Relacionamento'!H24</f>
        <v>0.30792682926829268</v>
      </c>
      <c r="C13" s="22">
        <f ca="1">'Calc - Aniversário de Cliente'!F24</f>
        <v>0</v>
      </c>
      <c r="D13" s="22">
        <f ca="1">'Calc - Data da Prox Agenda'!H24</f>
        <v>0.61344537815126055</v>
      </c>
      <c r="E13" s="22">
        <f ca="1">'Calc - Última sugestão'!H24</f>
        <v>0.17567567567567569</v>
      </c>
      <c r="F13" s="22">
        <f>'Calc - Saldo em Conta'!H24</f>
        <v>0.72513224258826425</v>
      </c>
      <c r="G13" s="22">
        <f ca="1">'Calc - Venc. RF'!I24</f>
        <v>0.53142857142857147</v>
      </c>
      <c r="H13" s="26">
        <f>'Calc - Oportunidade'!H27</f>
        <v>0.41764705882352943</v>
      </c>
      <c r="I13" s="29">
        <f t="shared" ca="1" si="0"/>
        <v>0.38960070618633713</v>
      </c>
    </row>
    <row r="14" spans="1:9" x14ac:dyDescent="0.3">
      <c r="A14" s="7" t="s">
        <v>18</v>
      </c>
      <c r="B14" s="21">
        <f ca="1">'Calc - Último Relacionamento'!H25</f>
        <v>0.59146341463414631</v>
      </c>
      <c r="C14" s="23">
        <f ca="1">'Calc - Aniversário de Cliente'!F25</f>
        <v>0.76666666666666661</v>
      </c>
      <c r="D14" s="23">
        <f ca="1">'Calc - Data da Prox Agenda'!H25</f>
        <v>0</v>
      </c>
      <c r="E14" s="23">
        <f ca="1">'Calc - Última sugestão'!H25</f>
        <v>0.45945945945945948</v>
      </c>
      <c r="F14" s="23">
        <f>'Calc - Saldo em Conta'!H25</f>
        <v>1</v>
      </c>
      <c r="G14" s="23">
        <f ca="1">'Calc - Venc. RF'!I25</f>
        <v>0</v>
      </c>
      <c r="H14" s="27">
        <f>'Calc - Oportunidade'!H28</f>
        <v>0.11470588235294117</v>
      </c>
      <c r="I14" s="30">
        <f t="shared" ca="1" si="0"/>
        <v>0.35064607649256141</v>
      </c>
    </row>
  </sheetData>
  <conditionalFormatting sqref="I5:I14">
    <cfRule type="expression" dxfId="1" priority="1">
      <formula>I5&gt;=LARGE($I$5:$I$14,5)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Todos os dados</vt:lpstr>
      <vt:lpstr>Calc - Último Relacionamento</vt:lpstr>
      <vt:lpstr>Calc - Aniversário de Cliente</vt:lpstr>
      <vt:lpstr>Calc - Data da Prox Agenda</vt:lpstr>
      <vt:lpstr>Calc - Oportunidade</vt:lpstr>
      <vt:lpstr>Calc - Última sugestão</vt:lpstr>
      <vt:lpstr>Calc - Saldo em Conta</vt:lpstr>
      <vt:lpstr>Calc - Venc. RF</vt:lpstr>
      <vt:lpstr>Simulação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Stimamiglio</cp:lastModifiedBy>
  <dcterms:created xsi:type="dcterms:W3CDTF">2025-05-12T14:42:51Z</dcterms:created>
  <dcterms:modified xsi:type="dcterms:W3CDTF">2025-05-12T18:43:43Z</dcterms:modified>
</cp:coreProperties>
</file>